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tth\OneDrive\Documents\GitHub\KC-GCODE-GENERATOR\"/>
    </mc:Choice>
  </mc:AlternateContent>
  <xr:revisionPtr revIDLastSave="0" documentId="8_{8ED77DEE-FB45-4974-BB57-1F8449F84809}" xr6:coauthVersionLast="47" xr6:coauthVersionMax="47" xr10:uidLastSave="{00000000-0000-0000-0000-000000000000}"/>
  <bookViews>
    <workbookView xWindow="7140" yWindow="435" windowWidth="19200" windowHeight="13155" xr2:uid="{914DE267-1888-42FE-A479-BE0A8E3C2B69}"/>
  </bookViews>
  <sheets>
    <sheet name="Main Pars" sheetId="1" r:id="rId1"/>
    <sheet name="EndCapCalculator " sheetId="11" r:id="rId2"/>
    <sheet name="Relationships" sheetId="8" r:id="rId3"/>
    <sheet name="Reference" sheetId="7" r:id="rId4"/>
    <sheet name="MasterPgms" sheetId="2" r:id="rId5"/>
    <sheet name="SubPgms" sheetId="3" r:id="rId6"/>
    <sheet name="User MasterPgms" sheetId="10" r:id="rId7"/>
    <sheet name="User SubPgms" sheetId="9" r:id="rId8"/>
  </sheets>
  <definedNames>
    <definedName name="BaseCeilingDYCutOff">Relationships!$E$15</definedName>
    <definedName name="BaseCeilingLength">Relationships!$E$8</definedName>
    <definedName name="BaseDXVPocket">Relationships!$E$11</definedName>
    <definedName name="BaseDYCutOff">Relationships!$E$13</definedName>
    <definedName name="BaseDYHPocket">Relationships!$E$12</definedName>
    <definedName name="BaseFemaleX0">Relationships!$E$14</definedName>
    <definedName name="BaseHeight">Relationships!$E$7</definedName>
    <definedName name="BaseMaleDX">Relationships!$E$9</definedName>
    <definedName name="BaseMaleDY">Relationships!$E$10</definedName>
    <definedName name="BaseTopFemaleDX">Relationships!$E$16</definedName>
    <definedName name="BaseWidth">Relationships!$E$6</definedName>
    <definedName name="CEILING">MasterPgms!$F$4</definedName>
    <definedName name="CeilingEndWidth">'Main Pars'!$B$8</definedName>
    <definedName name="Corner">'EndCapCalculator '!$C$7</definedName>
    <definedName name="DIFF">SubPgms!$D$35:$D$49</definedName>
    <definedName name="DIFF_Y0HPocket">SubPgms!$C$35</definedName>
    <definedName name="DiffHeight">'Main Pars'!$B$12</definedName>
    <definedName name="DiffLength">'Main Pars'!$B$13</definedName>
    <definedName name="DIffWidth">'Main Pars'!$B$11</definedName>
    <definedName name="DOOR_FLOOR">MasterPgms!$H$4</definedName>
    <definedName name="DX_VPocket_X">Relationships!$E$18</definedName>
    <definedName name="FEMALE_CEILING_END">MasterPgms!$J$4</definedName>
    <definedName name="FREEZER">MasterPgms!$B$4</definedName>
    <definedName name="Height">'Main Pars'!$B$7</definedName>
    <definedName name="Hpocket_DX">'Main Pars'!$F$17</definedName>
    <definedName name="HPocket_X0">'Main Pars'!$F$15</definedName>
    <definedName name="HPocket_XM">'Main Pars'!$F$16</definedName>
    <definedName name="MALE_CEILING_END">MasterPgms!$L$4</definedName>
    <definedName name="MaleOffset">Relationships!$E$5</definedName>
    <definedName name="mm">25.4</definedName>
    <definedName name="myLineBreak">'Main Pars'!$B$1</definedName>
    <definedName name="Panel_1">'EndCapCalculator '!$C$20</definedName>
    <definedName name="Panel_2">'EndCapCalculator '!$C$21</definedName>
    <definedName name="Panel_3">'EndCapCalculator '!$C$22</definedName>
    <definedName name="Panel_4">'EndCapCalculator '!$C$23</definedName>
    <definedName name="Panel_5">'EndCapCalculator '!$C$24</definedName>
    <definedName name="Panel_6">'EndCapCalculator '!$C$25</definedName>
    <definedName name="Panel_7">'EndCapCalculator '!$C$26</definedName>
    <definedName name="Panel_8">'EndCapCalculator '!$C$27</definedName>
    <definedName name="PGM_Ceiling">MasterPgms!$F$8:$F$176</definedName>
    <definedName name="PGM_DOOR_FLOOR">MasterPgms!$H$8:$H$172</definedName>
    <definedName name="PGM_Female_Ceiling_End">MasterPgms!$J$8:$J$171</definedName>
    <definedName name="PGM_Female_Connected_Ceiling">MasterPgms!$T$8:$T$199</definedName>
    <definedName name="PGM_Freezer">MasterPgms!$B$8:$B$152</definedName>
    <definedName name="PGM_Male_Ceiling_End">MasterPgms!$L$8:$L$162</definedName>
    <definedName name="PGM_Male_Connected_Ceiling">MasterPgms!$R$8:$R$199</definedName>
    <definedName name="PGM_Refrigerator">MasterPgms!$D$8:$D$160</definedName>
    <definedName name="PGM_SPECIAL_T">MasterPgms!$O$8:$O$200</definedName>
    <definedName name="REFRIGERATOR">MasterPgms!$D$4</definedName>
    <definedName name="s_DXVPocket">SubPgms!$C$19</definedName>
    <definedName name="s_DYHPocket">SubPgms!$G$19</definedName>
    <definedName name="s_TopPocket">SubPgms!$K$3</definedName>
    <definedName name="s_UserLarge1">'User SubPgms'!$K$3</definedName>
    <definedName name="s_UserLarge2">'User SubPgms'!$P$3</definedName>
    <definedName name="s_UserSmall1">'User SubPgms'!$C$3</definedName>
    <definedName name="s_UserSmall2">'User SubPgms'!$G$3</definedName>
    <definedName name="s_UserSmall3">'User SubPgms'!$C$21</definedName>
    <definedName name="s_UserSmall4">'User SubPgms'!$G$21</definedName>
    <definedName name="s_X0VPocket">SubPgms!$C$3</definedName>
    <definedName name="s_Y0HPocket">SubPgms!$G$3</definedName>
    <definedName name="SUB_DXVPocket">SubPgms!$D$14:$D$23</definedName>
    <definedName name="SUB_DYHPocket">SubPgms!$H$19:$H$33</definedName>
    <definedName name="SUB_TopPocket">SubPgms!$L$3:$L$38</definedName>
    <definedName name="SUB_UserLarge1">'User SubPgms'!$L$3:$L$54</definedName>
    <definedName name="SUB_UserLarge2">'User SubPgms'!$Q$3:$Q$54</definedName>
    <definedName name="SUB_UserSmall1">'User SubPgms'!$D$3:$D$19</definedName>
    <definedName name="SUB_UserSmall2">'User SubPgms'!$H$3:$H$19</definedName>
    <definedName name="SUB_UserSmall3">'User SubPgms'!$D$21:$D$37</definedName>
    <definedName name="SUB_UserSmall4">'User SubPgms'!$H$21:$H$37</definedName>
    <definedName name="SUB_X0VPocket">SubPgms!$D$3:$D$12</definedName>
    <definedName name="SUB_Y0HPocket">SubPgms!$H$3:$H$17</definedName>
    <definedName name="T_CEILING">MasterPgms!$H$4</definedName>
    <definedName name="T1Feed">Reference!$F$6</definedName>
    <definedName name="T1PocketFeed">Reference!$F$7</definedName>
    <definedName name="T1RPMs">Reference!$F$5</definedName>
    <definedName name="T5Feed">Reference!$F$9</definedName>
    <definedName name="T5PocketFeed">Reference!$F$10</definedName>
    <definedName name="T5RPMs">Reference!$F$8</definedName>
    <definedName name="T6Feed">Reference!$F$12</definedName>
    <definedName name="T6RPMs">Reference!$F$11</definedName>
    <definedName name="T6Z">Reference!$F$13</definedName>
    <definedName name="T7Feed">Reference!$F$15</definedName>
    <definedName name="T7RPMs">Reference!$F$14</definedName>
    <definedName name="T7Z">Reference!$F$16</definedName>
    <definedName name="T8Feed">Reference!$F$18</definedName>
    <definedName name="T8RPMs">Reference!$F$17</definedName>
    <definedName name="T8Z">Reference!$F$19</definedName>
    <definedName name="Top_11.25">'EndCapCalculator '!$C$8</definedName>
    <definedName name="Top_22">'EndCapCalculator '!$C$6</definedName>
    <definedName name="Top_34">'EndCapCalculator '!$C$5</definedName>
    <definedName name="Top_46">'EndCapCalculator '!$C$4</definedName>
    <definedName name="TopPocket_DX">'Main Pars'!$K$24</definedName>
    <definedName name="TopPocket_X0">'Main Pars'!$J$17</definedName>
    <definedName name="TopPocket_X1">'Main Pars'!$J$15</definedName>
    <definedName name="TopPocket_XM">'Main Pars'!$J$16</definedName>
    <definedName name="TopPocket_Y1">'Main Pars'!$J$6</definedName>
    <definedName name="TopPocket_Y2">'Main Pars'!$J$7</definedName>
    <definedName name="TopPocket_Y3">'Main Pars'!$J$8</definedName>
    <definedName name="TopPocket_Y4">'Main Pars'!$J$9</definedName>
    <definedName name="TopPocket_Y5">'Main Pars'!$J$10</definedName>
    <definedName name="TopPocket_Y6">'Main Pars'!$J$11</definedName>
    <definedName name="TopPocket_Y7">'Main Pars'!$J$12</definedName>
    <definedName name="TopPocket_Y8">'Main Pars'!$J$13</definedName>
    <definedName name="TPlunge">Reference!$F$4</definedName>
    <definedName name="uMPgm1">'User MasterPgms'!$B$4</definedName>
    <definedName name="uMPgm2">'User MasterPgms'!$D$4</definedName>
    <definedName name="uMPgm3">'User MasterPgms'!$F$4</definedName>
    <definedName name="uMPgm4">'User MasterPgms'!$H$4</definedName>
    <definedName name="uMPgm5">'User MasterPgms'!$J$4</definedName>
    <definedName name="uMPgm6">'User MasterPgms'!$L$4</definedName>
    <definedName name="User_MasterPgm1">'User MasterPgms'!$B$8:$B$108</definedName>
    <definedName name="User_MasterPgm2">'User MasterPgms'!$D$8:$D$108</definedName>
    <definedName name="User_MasterPgm3">'User MasterPgms'!$F$8:$F$108</definedName>
    <definedName name="User_MasterPgm4">'User MasterPgms'!$H$8:$H$108</definedName>
    <definedName name="User_MasterPgm5">'User MasterPgms'!$J$8:$J$108</definedName>
    <definedName name="User_MasterPgm6">'User MasterPgms'!$L$8:$L$108</definedName>
    <definedName name="VPocket_Y1">'Main Pars'!$F$6</definedName>
    <definedName name="VPocket_Y2">'Main Pars'!$F$7</definedName>
    <definedName name="VPocket_Y3">'Main Pars'!$F$8</definedName>
    <definedName name="VPocket_Y4">'Main Pars'!$F$9</definedName>
    <definedName name="VPocket_Y5">'Main Pars'!$F$10</definedName>
    <definedName name="VPocket_Y6">'Main Pars'!$F$11</definedName>
    <definedName name="VPocket_Y7">'Main Pars'!$F$12</definedName>
    <definedName name="Width">'Main Pars'!$B$6</definedName>
    <definedName name="X0_VPocket_X">Relationships!$E$17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9" i="1" l="1"/>
  <c r="B66" i="2"/>
  <c r="F11" i="1"/>
  <c r="B96" i="2" s="1"/>
  <c r="E13" i="7"/>
  <c r="O57" i="2"/>
  <c r="L21" i="2"/>
  <c r="J113" i="2"/>
  <c r="B88" i="2"/>
  <c r="B70" i="2"/>
  <c r="T17" i="2"/>
  <c r="R17" i="2"/>
  <c r="O17" i="2"/>
  <c r="J17" i="2"/>
  <c r="H17" i="2"/>
  <c r="F17" i="2"/>
  <c r="D17" i="2"/>
  <c r="B17" i="2"/>
  <c r="E16" i="7"/>
  <c r="R158" i="2"/>
  <c r="O143" i="2"/>
  <c r="H132" i="2"/>
  <c r="F132" i="2"/>
  <c r="J109" i="2"/>
  <c r="L106" i="2"/>
  <c r="L102" i="2"/>
  <c r="B98" i="2"/>
  <c r="B94" i="2"/>
  <c r="B90" i="2"/>
  <c r="B86" i="2"/>
  <c r="B72" i="2"/>
  <c r="B68" i="2"/>
  <c r="B64" i="2"/>
  <c r="B60" i="2"/>
  <c r="H5" i="3"/>
  <c r="B62" i="2" l="1"/>
  <c r="D62" i="2"/>
  <c r="B92" i="2"/>
  <c r="P10" i="7"/>
  <c r="P20" i="7" l="1"/>
  <c r="K27" i="11" l="1"/>
  <c r="F9" i="2"/>
  <c r="K24" i="11"/>
  <c r="K23" i="11"/>
  <c r="T9" i="2"/>
  <c r="R9" i="2"/>
  <c r="T67" i="2"/>
  <c r="C35" i="3"/>
  <c r="C19" i="3"/>
  <c r="D37" i="3"/>
  <c r="T92" i="2"/>
  <c r="T86" i="2"/>
  <c r="T82" i="2"/>
  <c r="T78" i="2"/>
  <c r="T74" i="2"/>
  <c r="T60" i="2"/>
  <c r="T56" i="2"/>
  <c r="T52" i="2"/>
  <c r="T48" i="2"/>
  <c r="T130" i="2"/>
  <c r="T19" i="2"/>
  <c r="T10" i="2"/>
  <c r="R100" i="2"/>
  <c r="R93" i="2"/>
  <c r="R89" i="2"/>
  <c r="R85" i="2"/>
  <c r="R81" i="2"/>
  <c r="R67" i="2"/>
  <c r="R63" i="2"/>
  <c r="R59" i="2"/>
  <c r="R55" i="2"/>
  <c r="R49" i="2"/>
  <c r="R135" i="2"/>
  <c r="R130" i="2"/>
  <c r="R19" i="2"/>
  <c r="R10" i="2"/>
  <c r="L34" i="2" s="1"/>
  <c r="G29" i="1"/>
  <c r="K22" i="11"/>
  <c r="K21" i="11"/>
  <c r="K25" i="11"/>
  <c r="K26" i="11"/>
  <c r="L6" i="3"/>
  <c r="B11" i="1"/>
  <c r="B12" i="1"/>
  <c r="B13" i="1"/>
  <c r="J36" i="11"/>
  <c r="K26" i="1"/>
  <c r="O21" i="11"/>
  <c r="J83" i="2" l="1"/>
  <c r="O139" i="2"/>
  <c r="T71" i="2"/>
  <c r="R78" i="2"/>
  <c r="H64" i="2"/>
  <c r="F64" i="2"/>
  <c r="O94" i="2"/>
  <c r="D83" i="2"/>
  <c r="B83" i="2"/>
  <c r="T35" i="2"/>
  <c r="R35" i="2"/>
  <c r="O35" i="2"/>
  <c r="F35" i="2"/>
  <c r="D41" i="2"/>
  <c r="B41" i="2"/>
  <c r="H35" i="2"/>
  <c r="R39" i="2"/>
  <c r="B44" i="2"/>
  <c r="T128" i="2"/>
  <c r="L79" i="2"/>
  <c r="J89" i="2"/>
  <c r="F130" i="2"/>
  <c r="L83" i="2"/>
  <c r="H130" i="2"/>
  <c r="O141" i="2"/>
  <c r="T156" i="2"/>
  <c r="B100" i="2"/>
  <c r="H32" i="3"/>
  <c r="L60" i="2"/>
  <c r="L52" i="2"/>
  <c r="L56" i="2"/>
  <c r="T69" i="2"/>
  <c r="T65" i="2"/>
  <c r="R83" i="2"/>
  <c r="T76" i="2"/>
  <c r="T80" i="2"/>
  <c r="O39" i="2" a="1"/>
  <c r="O39" i="2" s="1"/>
  <c r="R95" i="2"/>
  <c r="T87" i="2"/>
  <c r="T90" i="2"/>
  <c r="R87" i="2"/>
  <c r="H9" i="2"/>
  <c r="H109" i="2"/>
  <c r="H104" i="2"/>
  <c r="H86" i="2"/>
  <c r="H79" i="2"/>
  <c r="H75" i="2"/>
  <c r="H71" i="2"/>
  <c r="H69" i="2"/>
  <c r="H67" i="2"/>
  <c r="H60" i="2"/>
  <c r="H56" i="2"/>
  <c r="H52" i="2"/>
  <c r="H48" i="2"/>
  <c r="H19" i="2"/>
  <c r="H10" i="2"/>
  <c r="K13" i="1" a="1"/>
  <c r="K13" i="1" s="1"/>
  <c r="K24" i="1"/>
  <c r="K25" i="1"/>
  <c r="T152" i="2" l="1"/>
  <c r="O147" i="2"/>
  <c r="H126" i="2"/>
  <c r="O137" i="2"/>
  <c r="F126" i="2"/>
  <c r="F136" i="2"/>
  <c r="J80" i="2"/>
  <c r="R162" i="2"/>
  <c r="H136" i="2"/>
  <c r="T149" i="2"/>
  <c r="R149" i="2"/>
  <c r="L75" i="2"/>
  <c r="H73" i="2"/>
  <c r="H123" i="2"/>
  <c r="F69" i="2"/>
  <c r="D88" i="2"/>
  <c r="B54" i="2"/>
  <c r="D16" i="3"/>
  <c r="J55" i="2"/>
  <c r="J35" i="2"/>
  <c r="F79" i="2"/>
  <c r="F60" i="2"/>
  <c r="F48" i="2"/>
  <c r="D60" i="2"/>
  <c r="O78" i="2"/>
  <c r="O9" i="2"/>
  <c r="O10" i="2"/>
  <c r="O19" i="2"/>
  <c r="O82" i="2"/>
  <c r="O86" i="2"/>
  <c r="O101" i="2"/>
  <c r="O105" i="2"/>
  <c r="O116" i="2"/>
  <c r="S12" i="1"/>
  <c r="D94" i="2"/>
  <c r="D90" i="2"/>
  <c r="L50" i="2" l="1"/>
  <c r="O24" i="1"/>
  <c r="F16" i="7"/>
  <c r="B18" i="2" l="1"/>
  <c r="R18" i="2"/>
  <c r="T18" i="2"/>
  <c r="H18" i="2"/>
  <c r="O18" i="2"/>
  <c r="R91" i="2" l="1"/>
  <c r="T84" i="2"/>
  <c r="H77" i="2"/>
  <c r="F77" i="2"/>
  <c r="D96" i="2"/>
  <c r="K20" i="1"/>
  <c r="K19" i="1"/>
  <c r="K15" i="1"/>
  <c r="L4" i="10" l="1"/>
  <c r="J4" i="10"/>
  <c r="H4" i="10"/>
  <c r="F4" i="10"/>
  <c r="C21" i="9"/>
  <c r="B13" i="10" s="1"/>
  <c r="P3" i="9"/>
  <c r="B10" i="10" s="1"/>
  <c r="K3" i="9"/>
  <c r="D9" i="10" s="1"/>
  <c r="D4" i="10" s="1"/>
  <c r="G21" i="9"/>
  <c r="B14" i="10" s="1"/>
  <c r="G3" i="9"/>
  <c r="B12" i="10" s="1"/>
  <c r="C3" i="9"/>
  <c r="B11" i="10" s="1"/>
  <c r="C14" i="8"/>
  <c r="E14" i="8" s="1"/>
  <c r="F5" i="7"/>
  <c r="F6" i="7"/>
  <c r="F7" i="7"/>
  <c r="K3" i="3" s="1"/>
  <c r="F8" i="7"/>
  <c r="F9" i="7"/>
  <c r="F10" i="7"/>
  <c r="F11" i="7"/>
  <c r="F12" i="7"/>
  <c r="F13" i="7"/>
  <c r="F14" i="7"/>
  <c r="F15" i="7"/>
  <c r="B19" i="2" s="1"/>
  <c r="J18" i="2"/>
  <c r="F17" i="7"/>
  <c r="F18" i="7"/>
  <c r="F19" i="7"/>
  <c r="F4" i="7"/>
  <c r="E6" i="8"/>
  <c r="E7" i="8"/>
  <c r="F7" i="8" s="1"/>
  <c r="E8" i="8"/>
  <c r="E12" i="8"/>
  <c r="F12" i="8" s="1"/>
  <c r="C18" i="8"/>
  <c r="E18" i="8" s="1"/>
  <c r="F18" i="8" s="1"/>
  <c r="C17" i="8"/>
  <c r="E17" i="8" s="1"/>
  <c r="F17" i="8" s="1"/>
  <c r="C16" i="8"/>
  <c r="E16" i="8" s="1"/>
  <c r="F16" i="8" s="1"/>
  <c r="C15" i="8"/>
  <c r="E15" i="8" s="1"/>
  <c r="F15" i="8" s="1"/>
  <c r="C13" i="8"/>
  <c r="E13" i="8" s="1"/>
  <c r="F13" i="8" s="1"/>
  <c r="C12" i="8"/>
  <c r="C11" i="8"/>
  <c r="E11" i="8" s="1"/>
  <c r="C10" i="8"/>
  <c r="E10" i="8" s="1"/>
  <c r="F10" i="8" s="1"/>
  <c r="C9" i="8"/>
  <c r="E9" i="8" s="1"/>
  <c r="C5" i="8"/>
  <c r="E5" i="8" s="1"/>
  <c r="F6" i="8"/>
  <c r="F8" i="8"/>
  <c r="C7" i="1"/>
  <c r="C6" i="1"/>
  <c r="C8" i="1"/>
  <c r="K9" i="1"/>
  <c r="K8" i="1"/>
  <c r="K7" i="1"/>
  <c r="K6" i="1"/>
  <c r="G8" i="1"/>
  <c r="G7" i="1"/>
  <c r="G6" i="1"/>
  <c r="L9" i="2"/>
  <c r="L10" i="2"/>
  <c r="L35" i="2"/>
  <c r="L36" i="2"/>
  <c r="L58" i="2"/>
  <c r="L65" i="2"/>
  <c r="L118" i="2"/>
  <c r="L119" i="2"/>
  <c r="L123" i="2"/>
  <c r="J9" i="2"/>
  <c r="J10" i="2"/>
  <c r="J39" i="2"/>
  <c r="J63" i="2"/>
  <c r="J127" i="2"/>
  <c r="J129" i="2"/>
  <c r="J132" i="2"/>
  <c r="F10" i="2"/>
  <c r="F56" i="2"/>
  <c r="F71" i="2"/>
  <c r="F86" i="2"/>
  <c r="D10" i="2"/>
  <c r="B10" i="2"/>
  <c r="H21" i="3"/>
  <c r="G19" i="3" s="1"/>
  <c r="G3" i="3"/>
  <c r="C3" i="3"/>
  <c r="K11" i="1"/>
  <c r="K12" i="1"/>
  <c r="K17" i="1"/>
  <c r="G15" i="1"/>
  <c r="K16" i="1"/>
  <c r="F52" i="2"/>
  <c r="G9" i="1"/>
  <c r="G17" i="1"/>
  <c r="G16" i="1"/>
  <c r="D104" i="2"/>
  <c r="D9" i="2"/>
  <c r="B9" i="2"/>
  <c r="B107" i="2" l="1"/>
  <c r="R98" i="2"/>
  <c r="R102" i="2"/>
  <c r="B103" i="2"/>
  <c r="J65" i="2"/>
  <c r="T58" i="2"/>
  <c r="T54" i="2"/>
  <c r="T50" i="2"/>
  <c r="D81" i="2"/>
  <c r="B81" i="2"/>
  <c r="D77" i="2"/>
  <c r="B77" i="2"/>
  <c r="F134" i="2"/>
  <c r="J93" i="2"/>
  <c r="J91" i="2"/>
  <c r="L85" i="2"/>
  <c r="R160" i="2"/>
  <c r="L87" i="2"/>
  <c r="T154" i="2"/>
  <c r="D27" i="2"/>
  <c r="F27" i="2"/>
  <c r="L13" i="2"/>
  <c r="H27" i="2"/>
  <c r="O27" i="2"/>
  <c r="B27" i="2"/>
  <c r="L22" i="2"/>
  <c r="T36" i="2"/>
  <c r="R36" i="2"/>
  <c r="H36" i="2"/>
  <c r="O36" i="2"/>
  <c r="H98" i="2"/>
  <c r="T124" i="2"/>
  <c r="R124" i="2"/>
  <c r="R65" i="2"/>
  <c r="R61" i="2"/>
  <c r="R57" i="2"/>
  <c r="H58" i="2"/>
  <c r="H54" i="2"/>
  <c r="F58" i="2"/>
  <c r="H50" i="2"/>
  <c r="F50" i="2"/>
  <c r="J57" i="2"/>
  <c r="L95" i="2"/>
  <c r="L93" i="2"/>
  <c r="L91" i="2"/>
  <c r="L89" i="2"/>
  <c r="J97" i="2"/>
  <c r="J99" i="2"/>
  <c r="J105" i="2"/>
  <c r="J103" i="2"/>
  <c r="J101" i="2"/>
  <c r="L97" i="2"/>
  <c r="L99" i="2"/>
  <c r="J95" i="2"/>
  <c r="H134" i="2"/>
  <c r="O145" i="2"/>
  <c r="J111" i="2"/>
  <c r="L104" i="2"/>
  <c r="J30" i="2"/>
  <c r="H102" i="2"/>
  <c r="H84" i="2"/>
  <c r="H128" i="2"/>
  <c r="F73" i="2"/>
  <c r="O99" i="2"/>
  <c r="O107" i="2"/>
  <c r="O88" i="2"/>
  <c r="F54" i="2"/>
  <c r="O80" i="2"/>
  <c r="O54" i="2"/>
  <c r="O58" i="2"/>
  <c r="O62" i="2"/>
  <c r="O90" i="2"/>
  <c r="O97" i="2"/>
  <c r="D86" i="2"/>
  <c r="O103" i="2"/>
  <c r="D92" i="2"/>
  <c r="O84" i="2"/>
  <c r="O109" i="2"/>
  <c r="D98" i="2"/>
  <c r="O61" i="2"/>
  <c r="O55" i="2"/>
  <c r="O59" i="2"/>
  <c r="O114" i="2"/>
  <c r="O52" i="2"/>
  <c r="F104" i="2"/>
  <c r="F109" i="2"/>
  <c r="J41" i="2"/>
  <c r="J37" i="2"/>
  <c r="J33" i="2"/>
  <c r="L47" i="2"/>
  <c r="L31" i="2"/>
  <c r="J40" i="2"/>
  <c r="F98" i="2"/>
  <c r="F9" i="8"/>
  <c r="F14" i="8"/>
  <c r="D35" i="2"/>
  <c r="B35" i="2"/>
  <c r="C11" i="1"/>
  <c r="B38" i="2"/>
  <c r="J86" i="2"/>
  <c r="C13" i="1"/>
  <c r="G24" i="1" s="1"/>
  <c r="L81" i="2"/>
  <c r="F128" i="2"/>
  <c r="B9" i="10"/>
  <c r="B4" i="10" s="1"/>
  <c r="F5" i="8"/>
  <c r="L121" i="2"/>
  <c r="H81" i="2"/>
  <c r="D38" i="2"/>
  <c r="F36" i="2"/>
  <c r="D19" i="2"/>
  <c r="F19" i="2"/>
  <c r="J19" i="2"/>
  <c r="F11" i="8"/>
  <c r="D18" i="2"/>
  <c r="F102" i="2"/>
  <c r="F18" i="2"/>
  <c r="J61" i="2"/>
  <c r="J36" i="2"/>
  <c r="L33" i="2"/>
  <c r="G10" i="1"/>
  <c r="G11" i="1"/>
  <c r="G12" i="1"/>
  <c r="F84" i="2"/>
  <c r="K10" i="1"/>
  <c r="L64" i="2"/>
  <c r="F67" i="2"/>
  <c r="F75" i="2"/>
  <c r="J32" i="2"/>
  <c r="L54" i="2"/>
  <c r="J59" i="2"/>
  <c r="L62" i="2"/>
  <c r="J67" i="2"/>
  <c r="D68" i="2"/>
  <c r="D72" i="2"/>
  <c r="B105" i="2"/>
  <c r="B79" i="2"/>
  <c r="D70" i="2"/>
  <c r="D66" i="2"/>
  <c r="D79" i="2"/>
  <c r="D64" i="2"/>
  <c r="C38" i="1" l="1"/>
  <c r="R4" i="2"/>
  <c r="H4" i="2"/>
  <c r="C28" i="1" s="1"/>
  <c r="C12" i="1"/>
  <c r="O111" i="2"/>
  <c r="D99" i="2"/>
  <c r="D102" i="2"/>
  <c r="F81" i="2"/>
  <c r="D4" i="2" l="1"/>
  <c r="C24" i="1" s="1"/>
  <c r="B4" i="2"/>
  <c r="C22" i="1" s="1"/>
  <c r="L4" i="2"/>
  <c r="C32" i="1" s="1"/>
  <c r="J4" i="2"/>
  <c r="C30" i="1" s="1"/>
  <c r="O134" i="2"/>
  <c r="F123" i="2"/>
  <c r="K18" i="1"/>
  <c r="O4" i="2" l="1"/>
  <c r="C34" i="1"/>
  <c r="F4" i="2"/>
  <c r="C26" i="1" s="1"/>
  <c r="T4" i="2" l="1"/>
  <c r="C3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<sst xmlns="http://schemas.openxmlformats.org/spreadsheetml/2006/main" count="2393" uniqueCount="381">
  <si>
    <t>TPlunge</t>
  </si>
  <si>
    <t>T1RPMs</t>
  </si>
  <si>
    <t>T1Feed</t>
  </si>
  <si>
    <t>T5RPMs</t>
  </si>
  <si>
    <t>T5Feed</t>
  </si>
  <si>
    <t>T6RPMs</t>
  </si>
  <si>
    <t>T6Feed</t>
  </si>
  <si>
    <t>T7RPMs</t>
  </si>
  <si>
    <t>T7Feed</t>
  </si>
  <si>
    <t>T8RPMs</t>
  </si>
  <si>
    <t>T8Feed</t>
  </si>
  <si>
    <t>BaseWidth</t>
  </si>
  <si>
    <t>BaseHeight</t>
  </si>
  <si>
    <t>VPocket_Y1</t>
  </si>
  <si>
    <t>VPocket_Y2</t>
  </si>
  <si>
    <t>VPocket_Y3</t>
  </si>
  <si>
    <t>VPocket_Y5</t>
  </si>
  <si>
    <t>VPocket_Y6</t>
  </si>
  <si>
    <t>VPocket_Y7</t>
  </si>
  <si>
    <t>X0_VPocket_X</t>
  </si>
  <si>
    <t>DX_VPocket_X</t>
  </si>
  <si>
    <t>HPocket_X0</t>
  </si>
  <si>
    <t>HPocket_XM</t>
  </si>
  <si>
    <t>Hpocket_DX</t>
  </si>
  <si>
    <t>G40 G80 G91 G28 Z0</t>
  </si>
  <si>
    <t>M6 T7</t>
  </si>
  <si>
    <t>S6000 M3</t>
  </si>
  <si>
    <t>G54 G90</t>
  </si>
  <si>
    <t>G43H7</t>
  </si>
  <si>
    <t>X-38.10</t>
  </si>
  <si>
    <t>G00Z50.0</t>
  </si>
  <si>
    <t>M05</t>
  </si>
  <si>
    <t>G91 G28 Z0</t>
  </si>
  <si>
    <t>M6 T8</t>
  </si>
  <si>
    <t>G43H8</t>
  </si>
  <si>
    <t>(Far_MalePre_X)</t>
  </si>
  <si>
    <t>G00Y-50.0</t>
  </si>
  <si>
    <t>(Far_Male_X)</t>
  </si>
  <si>
    <t>G00Z25.0</t>
  </si>
  <si>
    <t>M6 T5</t>
  </si>
  <si>
    <t>G43H5</t>
  </si>
  <si>
    <t>G91</t>
  </si>
  <si>
    <t>Y84.0</t>
  </si>
  <si>
    <t>G90</t>
  </si>
  <si>
    <t>X84.0</t>
  </si>
  <si>
    <t>X-84 Z-50.8</t>
  </si>
  <si>
    <t>X-42.0</t>
  </si>
  <si>
    <t>(High_Y_CutOff)</t>
  </si>
  <si>
    <t>G40 G80 G91 G28 Z0 M5</t>
  </si>
  <si>
    <t>M30</t>
  </si>
  <si>
    <t>s_X0VPocket</t>
  </si>
  <si>
    <t>s_DXVPocket</t>
  </si>
  <si>
    <t>s_Y0HPocket</t>
  </si>
  <si>
    <t>s_TopPocket</t>
  </si>
  <si>
    <t>Y-10.0</t>
  </si>
  <si>
    <t>X34.0</t>
  </si>
  <si>
    <t>Y-68.0</t>
  </si>
  <si>
    <t>X-68.0</t>
  </si>
  <si>
    <t>Y68.0</t>
  </si>
  <si>
    <t>X24.0</t>
  </si>
  <si>
    <t>Y-48.0</t>
  </si>
  <si>
    <t>X-48.0</t>
  </si>
  <si>
    <t>Y48.0</t>
  </si>
  <si>
    <t>X14.0</t>
  </si>
  <si>
    <t>Y-28.0</t>
  </si>
  <si>
    <t>X-28.0</t>
  </si>
  <si>
    <t>Y28.0</t>
  </si>
  <si>
    <t>X4.0</t>
  </si>
  <si>
    <t>Y-8.0</t>
  </si>
  <si>
    <t>X-8.0</t>
  </si>
  <si>
    <t>Y8.0</t>
  </si>
  <si>
    <t>TopPocket_Y1</t>
  </si>
  <si>
    <t>TopPocket_Y2</t>
  </si>
  <si>
    <t>TopPocket_Y3</t>
  </si>
  <si>
    <t>TopPocket_Y5</t>
  </si>
  <si>
    <t>TopPocket_Y6</t>
  </si>
  <si>
    <t>TopPocket_Y7</t>
  </si>
  <si>
    <t>MaleOffset</t>
  </si>
  <si>
    <t>Width</t>
  </si>
  <si>
    <t>Height</t>
  </si>
  <si>
    <t>G00 Y3100.0 Z50.0</t>
  </si>
  <si>
    <t>G00 Z50.0</t>
  </si>
  <si>
    <t>G00 Y3100.0</t>
  </si>
  <si>
    <t>G00 G90 G54 S6000 M3</t>
  </si>
  <si>
    <t>G00 Z25.0</t>
  </si>
  <si>
    <t>G00 Y3100.0 Z25.0</t>
  </si>
  <si>
    <t>G00 X1350.0</t>
  </si>
  <si>
    <t>G00 Y-50.0</t>
  </si>
  <si>
    <t>G00 X-50.0</t>
  </si>
  <si>
    <t>G01 Y-50.0</t>
  </si>
  <si>
    <t>DIffWidth</t>
  </si>
  <si>
    <t>DiffHeight</t>
  </si>
  <si>
    <t>G01 Y3100.0</t>
  </si>
  <si>
    <t>G01 X1350.0</t>
  </si>
  <si>
    <t>BaseMaleDX</t>
  </si>
  <si>
    <t>BaseMaleDY</t>
  </si>
  <si>
    <t>G01 X-50.0</t>
  </si>
  <si>
    <t>(X0_Vpocket_Y7_Center)</t>
  </si>
  <si>
    <t>G00 X-25.0</t>
  </si>
  <si>
    <t>(X0_Vpocket_Y6_Center)</t>
  </si>
  <si>
    <t>(X0_Vpocket_Y5_Center)</t>
  </si>
  <si>
    <t>TopPocket_Y4 (Middle)</t>
  </si>
  <si>
    <t>(X0_Vpocket_Y4_Center)</t>
  </si>
  <si>
    <t>(X0_Vpocket_Y3_Center)</t>
  </si>
  <si>
    <t>(X0_Vpocket_Y2_Center)</t>
  </si>
  <si>
    <t>(X0_Vpocket_Y1_Center)</t>
  </si>
  <si>
    <t>(Y0_HPocket_X0_Center)</t>
  </si>
  <si>
    <t>(Y0_HPocket_XM_Center)</t>
  </si>
  <si>
    <t>(Y0_HPocket_DX_Center)</t>
  </si>
  <si>
    <t>(DX_Vpocket_Y1_Center)</t>
  </si>
  <si>
    <t>(DX_Vpocket_Y2_Center)</t>
  </si>
  <si>
    <t>(DX_Vpocket_Y3_Center)</t>
  </si>
  <si>
    <t>(DX_Vpocket_Y4_Center)</t>
  </si>
  <si>
    <t>(DX_Vpocket_Y5_Center)</t>
  </si>
  <si>
    <t>(DX_Vpocket_Y6_Center)</t>
  </si>
  <si>
    <t>(DX_Vpocket_Y7_Center)</t>
  </si>
  <si>
    <t>s_DYHPocket</t>
  </si>
  <si>
    <t>(DY_HPocket_X0_Center)</t>
  </si>
  <si>
    <t>(DY_HPocket_XM_Center)</t>
  </si>
  <si>
    <t>(DY_HPocket_DX_Center)</t>
  </si>
  <si>
    <t>G00 X1244.05 Y3100.0</t>
  </si>
  <si>
    <t>G00 Y-25.0</t>
  </si>
  <si>
    <t>BaseDXVPocket</t>
  </si>
  <si>
    <t>BaseDYHPocket</t>
  </si>
  <si>
    <t>&lt;&lt;&lt;----Copy Pgm</t>
  </si>
  <si>
    <t>BaseDYCutOff</t>
  </si>
  <si>
    <t>G01 Z0.0</t>
  </si>
  <si>
    <t>G01 X1244.05</t>
  </si>
  <si>
    <t>FREEZER</t>
  </si>
  <si>
    <t>REFRIGERATOR</t>
  </si>
  <si>
    <t>BaseFemaleX0</t>
  </si>
  <si>
    <t>M6 T6</t>
  </si>
  <si>
    <t>G43H6</t>
  </si>
  <si>
    <t>(High_TopFemale)</t>
  </si>
  <si>
    <t>M6 T1</t>
  </si>
  <si>
    <t>G43H1</t>
  </si>
  <si>
    <t>G00Z60.5</t>
  </si>
  <si>
    <t>G00Z110.0</t>
  </si>
  <si>
    <t>G00X300.0Y3100.0</t>
  </si>
  <si>
    <t>BaseCeilingLength</t>
  </si>
  <si>
    <t>DiffLength</t>
  </si>
  <si>
    <t>BaseCeilingDYCutOff</t>
  </si>
  <si>
    <t>T6Z (mm)</t>
  </si>
  <si>
    <t>T7Z (mm)</t>
  </si>
  <si>
    <t>T8Z (mm)</t>
  </si>
  <si>
    <t>BaseTopFemaleDX</t>
  </si>
  <si>
    <t>G00 Y50.8</t>
  </si>
  <si>
    <t>G00 G90 G54 S18000 M3</t>
  </si>
  <si>
    <t>G00 Y3100.0 Z110.0</t>
  </si>
  <si>
    <t>(DY_TopPocket_DX_Center)</t>
  </si>
  <si>
    <t>TopPocket_X0</t>
  </si>
  <si>
    <t>TopPocket_XM</t>
  </si>
  <si>
    <t>TopPocket_DX</t>
  </si>
  <si>
    <t>(DY_TopPocket_XM_Center)</t>
  </si>
  <si>
    <t>(DY_TopPocket_X0_Center)</t>
  </si>
  <si>
    <t>CEILING</t>
  </si>
  <si>
    <t>(Y0_TopPocket_X0_Center)</t>
  </si>
  <si>
    <t>G0Y 3100.0 Z110.0</t>
  </si>
  <si>
    <t>G01 Z110.0 F2000</t>
  </si>
  <si>
    <t>G00 Z110.0</t>
  </si>
  <si>
    <t>VPocket_Y4 (Middle)</t>
  </si>
  <si>
    <t>(TopPocket_Y7_Center)</t>
  </si>
  <si>
    <t>(TopPocket_Y6_Center)</t>
  </si>
  <si>
    <t>(TopPocket_Y5_Center)</t>
  </si>
  <si>
    <t>(TopPocket_Y4_Center)</t>
  </si>
  <si>
    <t>(TopPocket_Y3_Center)</t>
  </si>
  <si>
    <t>(TopPocket_Y2_Center)</t>
  </si>
  <si>
    <t>(TopPocket_Y1_Center)</t>
  </si>
  <si>
    <t>G00 Y3100</t>
  </si>
  <si>
    <t>G0 Z50.8</t>
  </si>
  <si>
    <t>G0 Y3100.0</t>
  </si>
  <si>
    <t>G01 X-38.1</t>
  </si>
  <si>
    <t>G01 Z0.0 F2000</t>
  </si>
  <si>
    <t>G01 Y50.0</t>
  </si>
  <si>
    <t>G00 Z50.8</t>
  </si>
  <si>
    <t>G00 X300.0 Y3100.0</t>
  </si>
  <si>
    <t>CeilingEndWidth</t>
  </si>
  <si>
    <t>FEMALE CEILING END</t>
  </si>
  <si>
    <t>MALE CEILING END</t>
  </si>
  <si>
    <t>T1PocketFeed</t>
  </si>
  <si>
    <t>T5PocketFeed</t>
  </si>
  <si>
    <t>(&gt;&gt;&gt;SUB TopPocket)</t>
  </si>
  <si>
    <t>(&lt;&lt;&lt;END SUB TopPocket)</t>
  </si>
  <si>
    <t>(&gt;&gt;&gt;SUB Y0HPocket)</t>
  </si>
  <si>
    <t>(&lt;&lt;&lt;SUB Y0HPocket)</t>
  </si>
  <si>
    <t>(&gt;&gt;&gt;SUB DYHPocket)</t>
  </si>
  <si>
    <t>(&lt;&lt;&lt;SUB DYHPocket)</t>
  </si>
  <si>
    <t>(&gt;&gt;&gt;SUB X0VPocket)</t>
  </si>
  <si>
    <t>(&lt;&lt;&lt;SUB X0VPocket)</t>
  </si>
  <si>
    <t>(&gt;&gt;&gt;SUB DXVPocket)</t>
  </si>
  <si>
    <t>(&lt;&lt;&lt;SUB DXVPocket)</t>
  </si>
  <si>
    <t>My SubPrograms</t>
  </si>
  <si>
    <t>(##### PGM Ceiling)</t>
  </si>
  <si>
    <t>(##### PGM Female Ceiling End)</t>
  </si>
  <si>
    <t>(##### PGM Male Ceiling End)</t>
  </si>
  <si>
    <t>(##### PGM Freezer)</t>
  </si>
  <si>
    <t>(##### PGM Refrigerator)</t>
  </si>
  <si>
    <t>G01 Z110.0</t>
  </si>
  <si>
    <t xml:space="preserve"> </t>
  </si>
  <si>
    <t>STANDARD MASTER PROGRAMS</t>
  </si>
  <si>
    <t>Inches</t>
  </si>
  <si>
    <t>mm</t>
  </si>
  <si>
    <t>Item</t>
  </si>
  <si>
    <t>Reference Item</t>
  </si>
  <si>
    <t>King Coolers Standard Program Design</t>
  </si>
  <si>
    <t>PROGRAMS To Copy!</t>
  </si>
  <si>
    <t>Reference</t>
  </si>
  <si>
    <t>x</t>
  </si>
  <si>
    <t>Changeable</t>
  </si>
  <si>
    <t>Short 1/2"</t>
  </si>
  <si>
    <t>Long 1/2" Upshear</t>
  </si>
  <si>
    <t>Top Female</t>
  </si>
  <si>
    <t>Side Female</t>
  </si>
  <si>
    <t>Side Male</t>
  </si>
  <si>
    <t>Relationships/Standards</t>
  </si>
  <si>
    <t>(11.75 or 34.5)</t>
  </si>
  <si>
    <t>Default</t>
  </si>
  <si>
    <t>User Override</t>
  </si>
  <si>
    <t>Value Used</t>
  </si>
  <si>
    <t>Value Used Inches</t>
  </si>
  <si>
    <t>Value Used                mm</t>
  </si>
  <si>
    <t>(&gt;&gt;&gt;SUB UserSmall1)</t>
  </si>
  <si>
    <t>(&lt;&lt;&lt;SUB UserSmall1)</t>
  </si>
  <si>
    <t>(&gt;&gt;&gt;SUB UserSmall2)</t>
  </si>
  <si>
    <t>(&lt;&lt;&lt;SUB UserSmall2)</t>
  </si>
  <si>
    <t>(&gt;&gt;&gt;SUB UserSmall3)</t>
  </si>
  <si>
    <t>(&lt;&lt;&lt;SUB UserSmall3)</t>
  </si>
  <si>
    <t>(&gt;&gt;&gt;SUB UserSmall4)</t>
  </si>
  <si>
    <t>(&lt;&lt;&lt;SUB UserSmall4)</t>
  </si>
  <si>
    <t>(&gt;&gt;&gt;SUB UserLarge1)</t>
  </si>
  <si>
    <t>(&lt;&lt;&lt;END SUB UserLarge1)</t>
  </si>
  <si>
    <t>(&gt;&gt;&gt;SUB UserLarge2)</t>
  </si>
  <si>
    <t>(&lt;&lt;&lt;END SUB UserLarge2)</t>
  </si>
  <si>
    <t>s_UserSmall1</t>
  </si>
  <si>
    <t>s_UserSmall2</t>
  </si>
  <si>
    <t>s_UserSmall4</t>
  </si>
  <si>
    <t>s_UserLarge1</t>
  </si>
  <si>
    <t>s_UserLarge2</t>
  </si>
  <si>
    <t>s_UserSmall3</t>
  </si>
  <si>
    <t>USER MASTER PROGRAMS</t>
  </si>
  <si>
    <t>(##### User MasterPgm1)</t>
  </si>
  <si>
    <t>(##### User MasterPgm2)</t>
  </si>
  <si>
    <t>(##### User MasterPgm3)</t>
  </si>
  <si>
    <t>(##### User MasterPgm4)</t>
  </si>
  <si>
    <t>(##### User MasterPgm5)</t>
  </si>
  <si>
    <t>(##### User MasterPgm6)</t>
  </si>
  <si>
    <t>User MasterPgm1</t>
  </si>
  <si>
    <t>User MasterPgm2</t>
  </si>
  <si>
    <t>User MasterPgm3</t>
  </si>
  <si>
    <t>User MasterPgm4</t>
  </si>
  <si>
    <t>User MasterPgm5</t>
  </si>
  <si>
    <t>User MasterPgm6</t>
  </si>
  <si>
    <t>****** End of User MasterPgm6</t>
  </si>
  <si>
    <t>****** End of User MasterPgm5</t>
  </si>
  <si>
    <t>****** End of User MasterPgm4</t>
  </si>
  <si>
    <t>****** End of User MasterPgm3</t>
  </si>
  <si>
    <t>****** End of User MasterPgm2</t>
  </si>
  <si>
    <t>****** End of User MasterPgm1</t>
  </si>
  <si>
    <t>(SUB UserSmall1)</t>
  </si>
  <si>
    <t>(SUB UserSmall2)</t>
  </si>
  <si>
    <t>(SUB UserSmall3)</t>
  </si>
  <si>
    <t>(SUB UserSmall4)</t>
  </si>
  <si>
    <t>(SUB UserLarge1)</t>
  </si>
  <si>
    <t>(SUB UserLarge2)</t>
  </si>
  <si>
    <t xml:space="preserve">default floor </t>
  </si>
  <si>
    <t>7.75 ---- 22 ---- 36.5 ---- 57.0 ---- 83.5 ---- 97.5</t>
  </si>
  <si>
    <t xml:space="preserve">default ceiling </t>
  </si>
  <si>
    <t>7.75 ---- 22 ---- 48.5 ---- 68.5 ---- 83.5  97.5</t>
  </si>
  <si>
    <t>TopPocket_X1</t>
  </si>
  <si>
    <t>(DY_TopPocket_X1_Center)</t>
  </si>
  <si>
    <t>(Y1_TopPocket_X1_Center)</t>
  </si>
  <si>
    <t>TopPocket_DX2</t>
  </si>
  <si>
    <t>TopPocket_DX3</t>
  </si>
  <si>
    <t>(Y2_TopPocket_X2_Center)</t>
  </si>
  <si>
    <t>middle cut</t>
  </si>
  <si>
    <t xml:space="preserve">middle thing idk </t>
  </si>
  <si>
    <t xml:space="preserve">Just in case I put Hpocket_dx here </t>
  </si>
  <si>
    <t>(##### PGM Special T)</t>
  </si>
  <si>
    <t>SPECIAL T</t>
  </si>
  <si>
    <t>new size for some reason</t>
  </si>
  <si>
    <t>(End Cut&gt;&gt;&gt;)</t>
  </si>
  <si>
    <t>(&lt;&lt;&lt;End Cut)</t>
  </si>
  <si>
    <t>Y-86.0</t>
  </si>
  <si>
    <t>G01 Y-42.0  Z-50.8 F2500</t>
  </si>
  <si>
    <t xml:space="preserve">Y86 </t>
  </si>
  <si>
    <t>G00 G90 G54 S10000 M3</t>
  </si>
  <si>
    <t xml:space="preserve">Reference </t>
  </si>
  <si>
    <t>Top_22</t>
  </si>
  <si>
    <t>Top_34</t>
  </si>
  <si>
    <t>Top_46</t>
  </si>
  <si>
    <t xml:space="preserve">Example </t>
  </si>
  <si>
    <t xml:space="preserve">Corner + Top_Anything = 11.75 + 10 </t>
  </si>
  <si>
    <t xml:space="preserve">Corner+Top_anything_end = 11.75+anything_end-10 </t>
  </si>
  <si>
    <t>Corner</t>
  </si>
  <si>
    <t>Implementation</t>
  </si>
  <si>
    <t>Panel_1</t>
  </si>
  <si>
    <t>Panel_2</t>
  </si>
  <si>
    <t>Panel_3</t>
  </si>
  <si>
    <t>Panel_4</t>
  </si>
  <si>
    <t>Panel_5</t>
  </si>
  <si>
    <t>Panel_6</t>
  </si>
  <si>
    <t>Panel_7</t>
  </si>
  <si>
    <t>Panel_8</t>
  </si>
  <si>
    <t>Dropdownchoices</t>
  </si>
  <si>
    <t>None</t>
  </si>
  <si>
    <t>Notes</t>
  </si>
  <si>
    <t>TopPocket_Y8</t>
  </si>
  <si>
    <t>(TopPocket_Y8_Center)</t>
  </si>
  <si>
    <t>(##### PGM DOOR FLOOR)</t>
  </si>
  <si>
    <t>DOOR FLOOR</t>
  </si>
  <si>
    <t>Key</t>
  </si>
  <si>
    <t xml:space="preserve">Pockets: </t>
  </si>
  <si>
    <t>Truesize11</t>
  </si>
  <si>
    <t>Pockets:</t>
  </si>
  <si>
    <t>Top_11.25</t>
  </si>
  <si>
    <t>Equations</t>
  </si>
  <si>
    <t>Total</t>
  </si>
  <si>
    <t xml:space="preserve">the fucking corner has some how been miscalculated this whole time by retards </t>
  </si>
  <si>
    <t xml:space="preserve">This is the new setup </t>
  </si>
  <si>
    <t>The width is always 18.75</t>
  </si>
  <si>
    <t xml:space="preserve">Fuck u </t>
  </si>
  <si>
    <t>The idiots have to learn to split it in half without fucking everything upo</t>
  </si>
  <si>
    <t>Pocket 1:     8</t>
  </si>
  <si>
    <t>corner is 19.5</t>
  </si>
  <si>
    <t>pocket on 4 and on 15.5</t>
  </si>
  <si>
    <t xml:space="preserve">automation </t>
  </si>
  <si>
    <t>C-X-X-X-C</t>
  </si>
  <si>
    <t>Min:</t>
  </si>
  <si>
    <t>Max:</t>
  </si>
  <si>
    <t>C-46.75-46.75-C         =</t>
  </si>
  <si>
    <t>C-22.75-C                      =</t>
  </si>
  <si>
    <t>&lt;---X</t>
  </si>
  <si>
    <t>length max</t>
  </si>
  <si>
    <t>width max</t>
  </si>
  <si>
    <t>calculation length</t>
  </si>
  <si>
    <t>calculation width</t>
  </si>
  <si>
    <t>C-X-X</t>
  </si>
  <si>
    <t>C-22.75</t>
  </si>
  <si>
    <t>C-46.75</t>
  </si>
  <si>
    <t xml:space="preserve">Relative to pockets this one is </t>
  </si>
  <si>
    <t>8 - 21.75</t>
  </si>
  <si>
    <t>Calc area for macro</t>
  </si>
  <si>
    <t>length max pockets</t>
  </si>
  <si>
    <t>22.75 has 10 center pocket</t>
  </si>
  <si>
    <t xml:space="preserve">46.75 has first pocket 10 center </t>
  </si>
  <si>
    <t>8 - 21.75 - 8</t>
  </si>
  <si>
    <t>idfk</t>
  </si>
  <si>
    <t>G00 Z66.93</t>
  </si>
  <si>
    <t>Top_30.5</t>
  </si>
  <si>
    <t>Top_16</t>
  </si>
  <si>
    <t>Male Connected Ceiling</t>
  </si>
  <si>
    <t>Female Connected Ceiling</t>
  </si>
  <si>
    <t>(Top_Connecting_Male)</t>
  </si>
  <si>
    <t>DIFF_Y0HPocket</t>
  </si>
  <si>
    <t>(&gt;&gt;&gt;DIFF Y0HPocket)</t>
  </si>
  <si>
    <t>(&lt;&lt;&lt;DIFF Y0HPocket)</t>
  </si>
  <si>
    <t>Y52.87000094</t>
  </si>
  <si>
    <t>Y-52.87000094</t>
  </si>
  <si>
    <t>(##### PGM Male Connected Ceiling)</t>
  </si>
  <si>
    <t>(##### PGM Female Connected Ceiling)</t>
  </si>
  <si>
    <t>FEMALE CONNECTED CEILING</t>
  </si>
  <si>
    <t>MALE CONNECT CEILING</t>
  </si>
  <si>
    <t>G01 Y-15.27</t>
  </si>
  <si>
    <t xml:space="preserve"> G01 X1350</t>
  </si>
  <si>
    <t xml:space="preserve">OLD VALUE </t>
  </si>
  <si>
    <t>NOTES: 11/10/25 10:16AM CHANGES MALE Z FROM -12 TO -3  AND both FEMALE 1/4 IN</t>
  </si>
  <si>
    <t>X41.0</t>
  </si>
  <si>
    <t>Y-85.0</t>
  </si>
  <si>
    <t>X-85.0</t>
  </si>
  <si>
    <t>Y85.0</t>
  </si>
  <si>
    <t>X45.0</t>
  </si>
  <si>
    <t xml:space="preserve">  </t>
  </si>
  <si>
    <t>Y48.775</t>
  </si>
  <si>
    <t>Y-48.775</t>
  </si>
  <si>
    <t>Y-61.6</t>
  </si>
  <si>
    <t>Y+61.6</t>
  </si>
  <si>
    <t>X-42</t>
  </si>
  <si>
    <t>X42</t>
  </si>
  <si>
    <t>G01 Y-11.8</t>
  </si>
  <si>
    <t>X52.46</t>
  </si>
  <si>
    <t>X-52.46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</si>
</sst>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_(* \(#,##0\);_(* &quot;-&quot;_);_(@_)"/>
    <numFmt numFmtId="43" formatCode="_(* #,##0.00_);_(* \(#,##0.00\);_(* &quot;-&quot;??_);_(@_)"/>
    <numFmt numFmtId="164" formatCode="_(* #,##0.0000_);_(* \(#,##0.0000\);_(*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rgb="FF444444"/>
      <name val="Segoe UI"/>
      <family val="2"/>
    </font>
    <font>
      <sz val="8"/>
      <name val="Calibri"/>
      <family val="2"/>
      <scheme val="minor"/>
    </font>
    <font>
      <sz val="24"/>
      <color theme="1"/>
      <name val="Calibri"/>
      <family val="2"/>
      <scheme val="minor"/>
    </font>
    <font>
      <b/>
      <sz val="11"/>
      <color rgb="FF3F3F3F"/>
      <name val="Calibri"/>
      <family val="2"/>
      <scheme val="minor"/>
    </font>
    <font>
      <b/>
      <sz val="11"/>
      <color rgb="FFFA7D00"/>
      <name val="Calibri"/>
      <family val="2"/>
      <scheme val="minor"/>
    </font>
    <font>
      <b/>
      <sz val="11"/>
      <color theme="0"/>
      <name val="Calibri"/>
      <family val="2"/>
      <scheme val="minor"/>
    </font>
  </fonts>
  <fills count="18">
    <fill>
      <patternFill patternType="none"/>
    </fill>
    <fill>
      <patternFill patternType="gray125"/>
    </fill>
    <fill>
      <patternFill patternType="solid">
        <fgColor theme="7"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3" tint="0.5999938962981048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2F2F2"/>
      </patternFill>
    </fill>
    <fill>
      <patternFill patternType="solid">
        <fgColor rgb="FFA5A5A5"/>
      </patternFill>
    </fill>
    <fill>
      <patternFill patternType="solid">
        <fgColor theme="1"/>
        <bgColor indexed="64"/>
      </patternFill>
    </fill>
    <fill>
      <patternFill patternType="solid">
        <fgColor theme="5" tint="0.39997558519241921"/>
        <bgColor indexed="64"/>
      </patternFill>
    </fill>
    <fill>
      <patternFill patternType="solid">
        <fgColor theme="2" tint="-0.89999084444715716"/>
        <bgColor indexed="64"/>
      </patternFill>
    </fill>
  </fills>
  <borders count="18">
    <border>
      <left/>
      <right/>
      <top/>
      <bottom/>
      <diagonal/>
    </border>
    <border diagonalUp="1" diagonalDown="1">
      <left style="thick">
        <color auto="1"/>
      </left>
      <right style="thick">
        <color auto="1"/>
      </right>
      <top style="thick">
        <color auto="1"/>
      </top>
      <bottom style="thick">
        <color auto="1"/>
      </bottom>
      <diagonal style="thick">
        <color auto="1"/>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s>
  <cellStyleXfs count="8">
    <xf numFmtId="0" fontId="0" fillId="0" borderId="0"/>
    <xf numFmtId="43" fontId="1" fillId="0" borderId="0" applyFont="0" applyFill="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8" fillId="13" borderId="14" applyNumberFormat="0" applyAlignment="0" applyProtection="0"/>
    <xf numFmtId="0" fontId="9" fillId="13" borderId="13" applyNumberFormat="0" applyAlignment="0" applyProtection="0"/>
    <xf numFmtId="0" fontId="10" fillId="14" borderId="15" applyNumberFormat="0" applyAlignment="0" applyProtection="0"/>
  </cellStyleXfs>
  <cellXfs count="94">
    <xf numFmtId="0" fontId="0" fillId="0" borderId="0" xfId="0"/>
    <xf numFmtId="0" fontId="2" fillId="0" borderId="0" xfId="0" applyFont="1"/>
    <xf numFmtId="0" fontId="3" fillId="0" borderId="0" xfId="0" applyFont="1"/>
    <xf numFmtId="0" fontId="0" fillId="0" borderId="0" xfId="0" applyProtection="1">
      <protection locked="0"/>
    </xf>
    <xf numFmtId="0" fontId="2" fillId="0" borderId="0" xfId="0" applyFont="1" applyAlignment="1">
      <alignment horizontal="right"/>
    </xf>
    <xf numFmtId="0" fontId="0" fillId="0" borderId="0" xfId="0" applyAlignment="1">
      <alignment horizontal="right"/>
    </xf>
    <xf numFmtId="0" fontId="3" fillId="0" borderId="0" xfId="0" applyFont="1" applyProtection="1">
      <protection hidden="1"/>
    </xf>
    <xf numFmtId="0" fontId="0" fillId="0" borderId="0" xfId="0" applyProtection="1">
      <protection hidden="1"/>
    </xf>
    <xf numFmtId="0" fontId="2" fillId="0" borderId="0" xfId="0" applyFont="1" applyProtection="1">
      <protection hidden="1"/>
    </xf>
    <xf numFmtId="0" fontId="0" fillId="0" borderId="1" xfId="0" applyBorder="1" applyProtection="1">
      <protection hidden="1"/>
    </xf>
    <xf numFmtId="0" fontId="0" fillId="0" borderId="0" xfId="0" applyAlignment="1" applyProtection="1">
      <alignment wrapText="1"/>
      <protection hidden="1"/>
    </xf>
    <xf numFmtId="0" fontId="2" fillId="0" borderId="0" xfId="0" applyFont="1" applyProtection="1">
      <protection locked="0" hidden="1"/>
    </xf>
    <xf numFmtId="0" fontId="0" fillId="0" borderId="0" xfId="0" applyAlignment="1">
      <alignment horizontal="center"/>
    </xf>
    <xf numFmtId="0" fontId="3" fillId="0" borderId="0" xfId="0" applyFont="1" applyAlignment="1">
      <alignment horizontal="center"/>
    </xf>
    <xf numFmtId="0" fontId="2" fillId="0" borderId="2" xfId="0" applyFont="1" applyBorder="1"/>
    <xf numFmtId="0" fontId="0" fillId="0" borderId="3" xfId="0" applyBorder="1"/>
    <xf numFmtId="0" fontId="0" fillId="0" borderId="4" xfId="0" applyBorder="1" applyAlignment="1">
      <alignment horizontal="center"/>
    </xf>
    <xf numFmtId="0" fontId="2" fillId="0" borderId="5" xfId="0" applyFont="1" applyBorder="1"/>
    <xf numFmtId="0" fontId="0" fillId="0" borderId="6" xfId="0" applyBorder="1" applyAlignment="1">
      <alignment horizontal="center"/>
    </xf>
    <xf numFmtId="0" fontId="2" fillId="0" borderId="7" xfId="0" applyFont="1" applyBorder="1"/>
    <xf numFmtId="0" fontId="0" fillId="0" borderId="8" xfId="0" applyBorder="1"/>
    <xf numFmtId="0" fontId="0" fillId="0" borderId="9" xfId="0" applyBorder="1" applyAlignment="1">
      <alignment horizontal="center"/>
    </xf>
    <xf numFmtId="0" fontId="2" fillId="0" borderId="10" xfId="0" applyFont="1" applyBorder="1"/>
    <xf numFmtId="0" fontId="0" fillId="0" borderId="11" xfId="0" applyBorder="1"/>
    <xf numFmtId="0" fontId="0" fillId="0" borderId="12" xfId="0" applyBorder="1" applyAlignment="1">
      <alignment horizontal="center"/>
    </xf>
    <xf numFmtId="43" fontId="0" fillId="0" borderId="0" xfId="1" applyFont="1" applyProtection="1"/>
    <xf numFmtId="164" fontId="0" fillId="0" borderId="0" xfId="1" applyNumberFormat="1" applyFont="1" applyProtection="1"/>
    <xf numFmtId="0" fontId="4" fillId="0" borderId="0" xfId="0" applyFont="1"/>
    <xf numFmtId="0" fontId="4" fillId="0" borderId="0" xfId="0" applyFont="1" applyAlignment="1">
      <alignment horizontal="center"/>
    </xf>
    <xf numFmtId="164" fontId="2" fillId="2" borderId="0" xfId="1" applyNumberFormat="1" applyFont="1" applyFill="1" applyProtection="1">
      <protection locked="0"/>
    </xf>
    <xf numFmtId="164" fontId="0" fillId="2" borderId="0" xfId="1" applyNumberFormat="1" applyFont="1" applyFill="1" applyProtection="1">
      <protection locked="0"/>
    </xf>
    <xf numFmtId="0" fontId="0" fillId="3" borderId="1" xfId="0" applyFill="1" applyBorder="1"/>
    <xf numFmtId="0" fontId="3" fillId="0" borderId="0" xfId="0" applyFont="1" applyAlignment="1">
      <alignment horizontal="right"/>
    </xf>
    <xf numFmtId="0" fontId="0" fillId="0" borderId="11" xfId="0" applyBorder="1" applyAlignment="1">
      <alignment horizontal="right"/>
    </xf>
    <xf numFmtId="0" fontId="0" fillId="0" borderId="3" xfId="0" applyBorder="1" applyAlignment="1">
      <alignment horizontal="right"/>
    </xf>
    <xf numFmtId="0" fontId="0" fillId="0" borderId="8" xfId="0" applyBorder="1" applyAlignment="1">
      <alignment horizontal="right"/>
    </xf>
    <xf numFmtId="0" fontId="2" fillId="0" borderId="0" xfId="0" applyFont="1" applyAlignment="1">
      <alignment wrapText="1"/>
    </xf>
    <xf numFmtId="0" fontId="2" fillId="0" borderId="0" xfId="0" applyFont="1" applyAlignment="1">
      <alignment horizontal="right" wrapText="1"/>
    </xf>
    <xf numFmtId="0" fontId="2" fillId="0" borderId="0" xfId="0" applyFont="1" applyAlignment="1">
      <alignment horizontal="center" wrapText="1"/>
    </xf>
    <xf numFmtId="0" fontId="0" fillId="4" borderId="0" xfId="0" applyFill="1" applyAlignment="1" applyProtection="1">
      <alignment horizontal="right"/>
      <protection locked="0"/>
    </xf>
    <xf numFmtId="0" fontId="0" fillId="4" borderId="8" xfId="0" applyFill="1" applyBorder="1" applyAlignment="1" applyProtection="1">
      <alignment horizontal="right"/>
      <protection locked="0"/>
    </xf>
    <xf numFmtId="0" fontId="0" fillId="0" borderId="0" xfId="0" applyAlignment="1">
      <alignment wrapText="1"/>
    </xf>
    <xf numFmtId="0" fontId="0" fillId="0" borderId="2" xfId="0" applyBorder="1"/>
    <xf numFmtId="164" fontId="0" fillId="0" borderId="3" xfId="1" applyNumberFormat="1" applyFont="1" applyBorder="1" applyAlignment="1">
      <alignment horizontal="right"/>
    </xf>
    <xf numFmtId="43" fontId="0" fillId="0" borderId="4" xfId="1" applyFont="1" applyBorder="1" applyAlignment="1">
      <alignment horizontal="right"/>
    </xf>
    <xf numFmtId="0" fontId="0" fillId="0" borderId="5" xfId="0" applyBorder="1"/>
    <xf numFmtId="164" fontId="0" fillId="0" borderId="0" xfId="1" applyNumberFormat="1" applyFont="1" applyBorder="1" applyAlignment="1">
      <alignment horizontal="right"/>
    </xf>
    <xf numFmtId="43" fontId="0" fillId="0" borderId="6" xfId="1" applyFont="1" applyBorder="1" applyAlignment="1">
      <alignment horizontal="right"/>
    </xf>
    <xf numFmtId="0" fontId="0" fillId="0" borderId="7" xfId="0" applyBorder="1"/>
    <xf numFmtId="164" fontId="0" fillId="0" borderId="8" xfId="1" applyNumberFormat="1" applyFont="1" applyBorder="1" applyAlignment="1">
      <alignment horizontal="right"/>
    </xf>
    <xf numFmtId="43" fontId="0" fillId="0" borderId="9" xfId="1" applyFont="1" applyBorder="1" applyAlignment="1">
      <alignment horizontal="right"/>
    </xf>
    <xf numFmtId="164" fontId="0" fillId="4" borderId="3" xfId="1" applyNumberFormat="1" applyFont="1" applyFill="1" applyBorder="1" applyAlignment="1" applyProtection="1">
      <alignment horizontal="right"/>
      <protection locked="0"/>
    </xf>
    <xf numFmtId="164" fontId="0" fillId="4" borderId="0" xfId="1" applyNumberFormat="1" applyFont="1" applyFill="1" applyBorder="1" applyAlignment="1" applyProtection="1">
      <alignment horizontal="right"/>
      <protection locked="0"/>
    </xf>
    <xf numFmtId="164" fontId="0" fillId="4" borderId="8" xfId="1" applyNumberFormat="1" applyFont="1" applyFill="1" applyBorder="1" applyAlignment="1" applyProtection="1">
      <alignment horizontal="right"/>
      <protection locked="0"/>
    </xf>
    <xf numFmtId="0" fontId="2" fillId="0" borderId="0" xfId="0" applyFont="1" applyProtection="1">
      <protection locked="0"/>
    </xf>
    <xf numFmtId="0" fontId="0" fillId="5" borderId="0" xfId="0" applyFill="1" applyProtection="1">
      <protection locked="0"/>
    </xf>
    <xf numFmtId="0" fontId="5" fillId="0" borderId="0" xfId="0" applyFont="1" applyProtection="1">
      <protection locked="0"/>
    </xf>
    <xf numFmtId="43" fontId="0" fillId="0" borderId="0" xfId="0" applyNumberFormat="1"/>
    <xf numFmtId="0" fontId="0" fillId="0" borderId="1" xfId="0" applyBorder="1" applyAlignment="1" applyProtection="1">
      <alignment horizontal="fill"/>
      <protection hidden="1"/>
    </xf>
    <xf numFmtId="0" fontId="0" fillId="0" borderId="0" xfId="0" applyAlignment="1" applyProtection="1">
      <alignment horizontal="fill"/>
      <protection hidden="1"/>
    </xf>
    <xf numFmtId="0" fontId="0" fillId="0" borderId="0" xfId="0" applyAlignment="1" applyProtection="1">
      <alignment horizontal="fill" vertical="center"/>
      <protection hidden="1"/>
    </xf>
    <xf numFmtId="0" fontId="0" fillId="3" borderId="1" xfId="0" applyFill="1" applyBorder="1" applyAlignment="1" applyProtection="1">
      <alignment horizontal="fill"/>
      <protection hidden="1"/>
    </xf>
    <xf numFmtId="0" fontId="0" fillId="6" borderId="0" xfId="0" applyFill="1" applyProtection="1">
      <protection hidden="1"/>
    </xf>
    <xf numFmtId="0" fontId="3" fillId="0" borderId="0" xfId="0" applyFont="1" applyAlignment="1" applyProtection="1">
      <alignment wrapText="1"/>
      <protection hidden="1"/>
    </xf>
    <xf numFmtId="0" fontId="2" fillId="0" borderId="0" xfId="0" applyFont="1" applyAlignment="1" applyProtection="1">
      <alignment wrapText="1"/>
      <protection hidden="1"/>
    </xf>
    <xf numFmtId="41" fontId="0" fillId="0" borderId="0" xfId="0" applyNumberFormat="1"/>
    <xf numFmtId="164" fontId="0" fillId="0" borderId="0" xfId="0" applyNumberFormat="1"/>
    <xf numFmtId="0" fontId="0" fillId="11" borderId="0" xfId="0" applyFill="1"/>
    <xf numFmtId="164" fontId="0" fillId="11" borderId="0" xfId="0" applyNumberFormat="1" applyFill="1"/>
    <xf numFmtId="0" fontId="1" fillId="9" borderId="0" xfId="4"/>
    <xf numFmtId="164" fontId="1" fillId="9" borderId="0" xfId="4" applyNumberFormat="1"/>
    <xf numFmtId="0" fontId="1" fillId="8" borderId="0" xfId="3"/>
    <xf numFmtId="164" fontId="1" fillId="8" borderId="0" xfId="3" applyNumberFormat="1"/>
    <xf numFmtId="0" fontId="1" fillId="7" borderId="0" xfId="2"/>
    <xf numFmtId="164" fontId="1" fillId="7" borderId="0" xfId="2" applyNumberFormat="1"/>
    <xf numFmtId="0" fontId="0" fillId="12" borderId="0" xfId="0" applyFill="1"/>
    <xf numFmtId="43" fontId="0" fillId="0" borderId="0" xfId="1" applyFont="1"/>
    <xf numFmtId="0" fontId="0" fillId="0" borderId="0" xfId="0" applyAlignment="1">
      <alignment horizontal="left"/>
    </xf>
    <xf numFmtId="0" fontId="0" fillId="15" borderId="0" xfId="0" applyFill="1"/>
    <xf numFmtId="0" fontId="9" fillId="13" borderId="13" xfId="6"/>
    <xf numFmtId="2" fontId="9" fillId="13" borderId="13" xfId="6" applyNumberFormat="1"/>
    <xf numFmtId="0" fontId="8" fillId="13" borderId="14" xfId="5"/>
    <xf numFmtId="49" fontId="9" fillId="13" borderId="13" xfId="6" applyNumberFormat="1"/>
    <xf numFmtId="0" fontId="0" fillId="0" borderId="0" xfId="0" applyAlignment="1">
      <alignment vertical="top"/>
    </xf>
    <xf numFmtId="0" fontId="0" fillId="16" borderId="0" xfId="0" applyFill="1" applyProtection="1">
      <protection hidden="1"/>
    </xf>
    <xf numFmtId="0" fontId="0" fillId="0" borderId="0" xfId="0" applyAlignment="1" applyProtection="1">
      <alignment horizontal="center"/>
      <protection hidden="1"/>
    </xf>
    <xf numFmtId="0" fontId="0" fillId="17" borderId="0" xfId="0" applyFill="1"/>
    <xf numFmtId="164" fontId="0" fillId="2" borderId="0" xfId="1" applyNumberFormat="1" applyFont="1" applyFill="1" applyProtection="1"/>
    <xf numFmtId="0" fontId="7" fillId="10" borderId="0" xfId="0" applyFont="1" applyFill="1" applyAlignment="1">
      <alignment horizontal="center"/>
    </xf>
    <xf numFmtId="0" fontId="0" fillId="0" borderId="0" xfId="0" applyAlignment="1">
      <alignment horizontal="center"/>
    </xf>
    <xf numFmtId="0" fontId="10" fillId="14" borderId="15" xfId="7" applyAlignment="1">
      <alignment horizontal="center"/>
    </xf>
    <xf numFmtId="0" fontId="10" fillId="14" borderId="16" xfId="7" applyBorder="1" applyAlignment="1">
      <alignment horizontal="center"/>
    </xf>
    <xf numFmtId="0" fontId="10" fillId="14" borderId="17" xfId="7" applyBorder="1" applyAlignment="1">
      <alignment horizontal="center"/>
    </xf>
    <xf numFmtId="0" fontId="0" fillId="0" borderId="0" xfId="0" applyAlignment="1" applyProtection="1">
      <alignment horizontal="center"/>
      <protection hidden="1"/>
    </xf>
  </cellXfs>
  <cellStyles count="8">
    <cellStyle name="40% - Accent1" xfId="2" builtinId="31"/>
    <cellStyle name="40% - Accent2" xfId="3" builtinId="35"/>
    <cellStyle name="40% - Accent5" xfId="4" builtinId="47"/>
    <cellStyle name="Calculation" xfId="6" builtinId="22"/>
    <cellStyle name="Check Cell" xfId="7" builtinId="23"/>
    <cellStyle name="Comma" xfId="1" builtinId="3"/>
    <cellStyle name="Normal" xfId="0" builtinId="0"/>
    <cellStyle name="Output" xfId="5"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FB6C5-FEFE-4766-B023-6C07146CDD49}">
  <sheetPr codeName="Sheet1"/>
  <dimension ref="A1:Z39"/>
  <sheetViews>
    <sheetView tabSelected="1" zoomScale="85" zoomScaleNormal="85" workbookViewId="0">
      <selection activeCell="H23" sqref="H23"/>
    </sheetView>
  </sheetViews>
  <sheetFormatPr defaultRowHeight="15" x14ac:dyDescent="0.25"/>
  <cols>
    <col min="1" max="1" width="21.85546875" bestFit="1" customWidth="1"/>
    <col min="2" max="3" width="10.7109375" customWidth="1"/>
    <col min="5" max="5" width="19.7109375" bestFit="1" customWidth="1"/>
    <col min="6" max="6" width="10.7109375" customWidth="1"/>
    <col min="7" max="7" width="13.5703125" customWidth="1"/>
    <col min="8" max="8" width="10.28515625" bestFit="1" customWidth="1"/>
    <col min="9" max="9" width="15.28515625" customWidth="1"/>
    <col min="10" max="11" width="10.7109375" customWidth="1"/>
    <col min="12" max="12" width="20" customWidth="1"/>
    <col min="13" max="13" width="9.5703125" bestFit="1" customWidth="1"/>
    <col min="15" max="15" width="21.85546875" bestFit="1" customWidth="1"/>
    <col min="17" max="17" width="9.5703125" bestFit="1" customWidth="1"/>
    <col min="22" max="22" width="9.5703125" bestFit="1" customWidth="1"/>
  </cols>
  <sheetData>
    <row r="1" spans="1:26" s="1" customFormat="1" ht="23.25" x14ac:dyDescent="0.35">
      <c r="A1" s="2" t="s">
        <v>204</v>
      </c>
    </row>
    <row r="2" spans="1:26" x14ac:dyDescent="0.25">
      <c r="A2" s="3"/>
      <c r="H2" s="1"/>
      <c r="I2" s="1"/>
    </row>
    <row r="3" spans="1:26" x14ac:dyDescent="0.25">
      <c r="H3" s="1"/>
      <c r="I3" s="1"/>
      <c r="N3" s="30">
        <v>32.630000000000003</v>
      </c>
    </row>
    <row r="4" spans="1:26" x14ac:dyDescent="0.25">
      <c r="H4" s="1"/>
      <c r="I4" s="1"/>
      <c r="N4" s="30">
        <v>59.38</v>
      </c>
      <c r="S4" s="76"/>
    </row>
    <row r="5" spans="1:26" s="1" customFormat="1" x14ac:dyDescent="0.25">
      <c r="B5" s="4" t="s">
        <v>200</v>
      </c>
      <c r="C5" s="4" t="s">
        <v>201</v>
      </c>
      <c r="E5" s="1" t="s">
        <v>202</v>
      </c>
      <c r="F5" s="4" t="s">
        <v>200</v>
      </c>
      <c r="G5" s="4" t="s">
        <v>201</v>
      </c>
      <c r="I5" s="1" t="s">
        <v>202</v>
      </c>
      <c r="J5" s="4" t="s">
        <v>200</v>
      </c>
      <c r="K5" s="4" t="s">
        <v>201</v>
      </c>
      <c r="N5" s="30">
        <v>88</v>
      </c>
    </row>
    <row r="6" spans="1:26" x14ac:dyDescent="0.25">
      <c r="A6" s="4" t="s">
        <v>78</v>
      </c>
      <c r="B6" s="29">
        <v>11.75</v>
      </c>
      <c r="C6" s="25">
        <f>Width*mm</f>
        <v>298.45</v>
      </c>
      <c r="E6" t="s">
        <v>13</v>
      </c>
      <c r="F6" s="30">
        <v>0</v>
      </c>
      <c r="G6" s="25">
        <f>VPocket_Y1*mm</f>
        <v>0</v>
      </c>
      <c r="I6" t="s">
        <v>71</v>
      </c>
      <c r="J6" s="30">
        <v>8</v>
      </c>
      <c r="K6" s="25">
        <f>TopPocket_Y1*mm</f>
        <v>203.2</v>
      </c>
      <c r="S6">
        <v>7.75</v>
      </c>
    </row>
    <row r="7" spans="1:26" x14ac:dyDescent="0.25">
      <c r="A7" s="4" t="s">
        <v>79</v>
      </c>
      <c r="B7" s="29">
        <v>120</v>
      </c>
      <c r="C7" s="25">
        <f>Height*mm</f>
        <v>3048</v>
      </c>
      <c r="E7" t="s">
        <v>14</v>
      </c>
      <c r="F7" s="30">
        <v>10</v>
      </c>
      <c r="G7" s="25">
        <f>VPocket_Y2*mm</f>
        <v>254</v>
      </c>
      <c r="I7" t="s">
        <v>72</v>
      </c>
      <c r="J7" s="30">
        <v>16</v>
      </c>
      <c r="K7" s="25">
        <f>TopPocket_Y2*mm</f>
        <v>406.4</v>
      </c>
      <c r="S7">
        <v>0</v>
      </c>
    </row>
    <row r="8" spans="1:26" x14ac:dyDescent="0.25">
      <c r="A8" s="4" t="s">
        <v>176</v>
      </c>
      <c r="B8" s="29">
        <v>11.75</v>
      </c>
      <c r="C8" s="25">
        <f>CeilingEndWidth*mm</f>
        <v>298.45</v>
      </c>
      <c r="E8" t="s">
        <v>15</v>
      </c>
      <c r="F8" s="30">
        <v>0</v>
      </c>
      <c r="G8" s="25">
        <f>VPocket_Y3*mm</f>
        <v>0</v>
      </c>
      <c r="I8" t="s">
        <v>73</v>
      </c>
      <c r="J8" s="30">
        <v>28</v>
      </c>
      <c r="K8" s="25">
        <f>TopPocket_Y3*mm</f>
        <v>711.19999999999993</v>
      </c>
      <c r="S8">
        <v>22.5</v>
      </c>
    </row>
    <row r="9" spans="1:26" x14ac:dyDescent="0.25">
      <c r="A9" s="4" t="s">
        <v>215</v>
      </c>
      <c r="B9" s="26"/>
      <c r="C9" s="25"/>
      <c r="E9" t="s">
        <v>160</v>
      </c>
      <c r="F9">
        <f>Height/2</f>
        <v>60</v>
      </c>
      <c r="G9" s="25">
        <f>VPocket_Y4*mm</f>
        <v>1524</v>
      </c>
      <c r="I9" t="s">
        <v>101</v>
      </c>
      <c r="J9" s="87">
        <v>40</v>
      </c>
      <c r="K9" s="25">
        <f>TopPocket_Y4*mm</f>
        <v>1016</v>
      </c>
      <c r="O9" t="s">
        <v>264</v>
      </c>
      <c r="S9">
        <v>52</v>
      </c>
      <c r="Z9" t="s">
        <v>279</v>
      </c>
    </row>
    <row r="10" spans="1:26" x14ac:dyDescent="0.25">
      <c r="A10" s="5"/>
      <c r="B10" s="26"/>
      <c r="C10" s="25" t="s">
        <v>198</v>
      </c>
      <c r="E10" t="s">
        <v>16</v>
      </c>
      <c r="F10" s="26">
        <v>0</v>
      </c>
      <c r="G10" s="25">
        <f>VPocket_Y5*mm</f>
        <v>0</v>
      </c>
      <c r="I10" t="s">
        <v>74</v>
      </c>
      <c r="J10" s="26">
        <v>52</v>
      </c>
      <c r="K10" s="25">
        <f>TopPocket_Y5*mm</f>
        <v>1320.8</v>
      </c>
      <c r="O10" t="s">
        <v>265</v>
      </c>
      <c r="S10">
        <v>78.25</v>
      </c>
      <c r="Z10">
        <v>46.377499999999998</v>
      </c>
    </row>
    <row r="11" spans="1:26" x14ac:dyDescent="0.25">
      <c r="A11" s="4" t="s">
        <v>90</v>
      </c>
      <c r="B11" s="26">
        <f>BaseWidth-Width</f>
        <v>34.75</v>
      </c>
      <c r="C11" s="25">
        <f>DIffWidth*mm</f>
        <v>882.65</v>
      </c>
      <c r="E11" t="s">
        <v>17</v>
      </c>
      <c r="F11" s="25">
        <f>B7-F7</f>
        <v>110</v>
      </c>
      <c r="G11" s="25">
        <f>VPocket_Y6*mm</f>
        <v>2794</v>
      </c>
      <c r="I11" t="s">
        <v>75</v>
      </c>
      <c r="J11" s="26">
        <v>64</v>
      </c>
      <c r="K11" s="25">
        <f>TopPocket_Y6*mm</f>
        <v>1625.6</v>
      </c>
      <c r="S11">
        <v>0</v>
      </c>
    </row>
    <row r="12" spans="1:26" x14ac:dyDescent="0.25">
      <c r="A12" s="4" t="s">
        <v>91</v>
      </c>
      <c r="B12" s="26">
        <f>BaseHeight-Height</f>
        <v>-25.5</v>
      </c>
      <c r="C12" s="25">
        <f>DiffHeight*mm</f>
        <v>-647.69999999999993</v>
      </c>
      <c r="E12" t="s">
        <v>18</v>
      </c>
      <c r="F12" s="26">
        <v>0</v>
      </c>
      <c r="G12" s="25">
        <f>VPocket_Y7*mm</f>
        <v>0</v>
      </c>
      <c r="I12" t="s">
        <v>76</v>
      </c>
      <c r="J12" s="26">
        <v>76</v>
      </c>
      <c r="K12" s="25">
        <f>TopPocket_Y7*mm</f>
        <v>1930.3999999999999</v>
      </c>
      <c r="O12" t="s">
        <v>266</v>
      </c>
      <c r="S12">
        <f>Height-TopPocket_Y1</f>
        <v>112</v>
      </c>
    </row>
    <row r="13" spans="1:26" x14ac:dyDescent="0.25">
      <c r="A13" s="4" t="s">
        <v>140</v>
      </c>
      <c r="B13" s="26">
        <f>BaseCeilingLength-Height</f>
        <v>-26.75</v>
      </c>
      <c r="C13" s="25">
        <f>DiffLength-mm</f>
        <v>-52.15</v>
      </c>
      <c r="F13" s="26"/>
      <c r="G13" s="25"/>
      <c r="I13" t="s">
        <v>306</v>
      </c>
      <c r="J13" s="26">
        <v>112</v>
      </c>
      <c r="K13" s="25" cm="1">
        <f t="array" ref="K13">TopPocket_Y8*mm</f>
        <v>2844.7999999999997</v>
      </c>
      <c r="O13" t="s">
        <v>267</v>
      </c>
    </row>
    <row r="14" spans="1:26" x14ac:dyDescent="0.25">
      <c r="F14" s="26"/>
      <c r="G14" s="25"/>
      <c r="H14" t="s">
        <v>198</v>
      </c>
      <c r="J14" s="26">
        <v>0</v>
      </c>
      <c r="P14" s="26"/>
      <c r="R14" t="s">
        <v>198</v>
      </c>
    </row>
    <row r="15" spans="1:26" x14ac:dyDescent="0.25">
      <c r="E15" t="s">
        <v>21</v>
      </c>
      <c r="F15" s="30">
        <v>10</v>
      </c>
      <c r="G15" s="25">
        <f>F15*mm</f>
        <v>254</v>
      </c>
      <c r="I15" t="s">
        <v>268</v>
      </c>
      <c r="J15" s="30">
        <v>10</v>
      </c>
      <c r="K15" s="57">
        <f>J15*mm</f>
        <v>254</v>
      </c>
      <c r="M15" s="30">
        <v>7.75</v>
      </c>
      <c r="P15" t="s">
        <v>371</v>
      </c>
    </row>
    <row r="16" spans="1:26" x14ac:dyDescent="0.25">
      <c r="E16" t="s">
        <v>22</v>
      </c>
      <c r="F16" s="30">
        <v>0</v>
      </c>
      <c r="G16" s="25">
        <f>F16*mm</f>
        <v>0</v>
      </c>
      <c r="I16" t="s">
        <v>151</v>
      </c>
      <c r="J16" s="30">
        <v>0</v>
      </c>
      <c r="K16" s="25">
        <f>J16*mm</f>
        <v>0</v>
      </c>
      <c r="M16" s="30">
        <v>22</v>
      </c>
    </row>
    <row r="17" spans="2:21" x14ac:dyDescent="0.25">
      <c r="E17" t="s">
        <v>23</v>
      </c>
      <c r="F17" s="26">
        <v>0</v>
      </c>
      <c r="G17" s="25">
        <f>F17*mm</f>
        <v>0</v>
      </c>
      <c r="I17" t="s">
        <v>150</v>
      </c>
      <c r="J17" s="26">
        <v>10</v>
      </c>
      <c r="K17" s="25">
        <f>J17*mm</f>
        <v>254</v>
      </c>
      <c r="M17" s="26">
        <v>36.75</v>
      </c>
    </row>
    <row r="18" spans="2:21" x14ac:dyDescent="0.25">
      <c r="I18" t="s">
        <v>152</v>
      </c>
      <c r="J18" t="s">
        <v>198</v>
      </c>
      <c r="K18" s="25">
        <f>K24*mm</f>
        <v>44.449999999999996</v>
      </c>
      <c r="O18" t="s">
        <v>275</v>
      </c>
    </row>
    <row r="19" spans="2:21" x14ac:dyDescent="0.25">
      <c r="I19" t="s">
        <v>271</v>
      </c>
      <c r="K19" s="25">
        <f>K25*mm</f>
        <v>0</v>
      </c>
    </row>
    <row r="20" spans="2:21" s="27" customFormat="1" ht="18.75" x14ac:dyDescent="0.3">
      <c r="C20" s="28" t="s">
        <v>205</v>
      </c>
      <c r="I20" t="s">
        <v>272</v>
      </c>
      <c r="K20" s="25">
        <f>K26*mm</f>
        <v>44.449999999999996</v>
      </c>
      <c r="L20"/>
    </row>
    <row r="21" spans="2:21" ht="15.75" thickBot="1" x14ac:dyDescent="0.3">
      <c r="C21" s="3"/>
    </row>
    <row r="22" spans="2:21" ht="16.5" thickTop="1" thickBot="1" x14ac:dyDescent="0.3">
      <c r="B22" s="4" t="s">
        <v>128</v>
      </c>
      <c r="C22" s="31" t="str">
        <f ca="1">FREEZER</f>
        <v xml:space="preserve">(##### PGM Freezer)
(Standard Freezer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G00 X-50.0
G01 Z-31.00 F2000
G01 Y-11.8
(Far_MalePre_X)
G01 X1350.0 F3500
G01 Y-50.0
(Far_Male_X)
G01 X333.38
G01 Y3100.0
G01 X1350.0
G01 Y3089.66
G01 X-50.0
G00 Z25.0
G00 Y3100.0
G00 X1350.0
G00 Z25.0
M05
G91 G28 Z0
M6 T5
G00 G90 G54 M3 S9000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(Y0_HPocket_X0_Center)
G00 X257.18 Y-12.0
(&gt;&gt;&gt;SUB Y0HPocket)
G91
G01 X-42.0 F2500
Y48.775
X84.0
Y-48.775
X-84 Z-50.8
Y48.775
X84.0
Y-48.775
X-42.0
G90
G00Z50.0
G00Y-50.0
(&lt;&lt;&lt;SUB Y0HPocket)
(Y0_HPocket_XM_Center)
(Y0_HPocket_DX_Center)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Y3129.10
(DY_HPocket_DX_Center)
(DY_HPocket_XM_Center)
(DY_HPocket_X0_Center)
G00 X257.18Y3103.70
(&gt;&gt;&gt;SUB DYHPocket)
G91
G01 X-42.0 F2500
Y-61.6
X84.0
Y+61.6
X-84 Z-50.8
Y-61.6
X84.0
Y+61.6
X-42.0
G90
G00Z50.0
G00 Y3103.70
(&lt;&lt;&lt;SUB DYHPocket)
G00 Z50.0
G00 X1244.05 Y3100.0
M05
G40 G80 G91 G28 Z0 M5
M30
</v>
      </c>
      <c r="D22" t="s">
        <v>124</v>
      </c>
      <c r="U22" t="s">
        <v>323</v>
      </c>
    </row>
    <row r="23" spans="2:21" ht="16.5" thickTop="1" thickBot="1" x14ac:dyDescent="0.3">
      <c r="B23" s="5"/>
      <c r="C23" s="3"/>
      <c r="O23" t="s">
        <v>274</v>
      </c>
      <c r="U23" t="s">
        <v>324</v>
      </c>
    </row>
    <row r="24" spans="2:21" ht="16.5" thickTop="1" thickBot="1" x14ac:dyDescent="0.3">
      <c r="B24" s="4" t="s">
        <v>129</v>
      </c>
      <c r="C24" s="31" t="str">
        <f ca="1">REFRIGERATOR</f>
        <v xml:space="preserve">(##### PGM Refrigerator)
(Standard Refrigerator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G00 X-50.0
G01 Z-31.00 F2000
G01 Y-11.8
(Far_MalePre_X)
G01 X1350.0 F3500
G01 Y-50.0
(Far_Male_X)
G01 X333.38
G01 Y3100.0
G00 Z25.0
G00 Y3100.0
G00 X1350.0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(Y0_HPocket_X0_Center)
G00 X257.18 Y-12.0
(&gt;&gt;&gt;SUB Y0HPocket)
G91
G01 X-42.0 F2500
Y48.775
X84.0
Y-48.775
X-84 Z-50.8
Y48.775
X84.0
Y-48.775
X-42.0
G90
G00Z50.0
G00Y-50.0
(&lt;&lt;&lt;SUB Y0HPocket)
(Y0_HPocket_XM_Center)
(Y0_HPocket_DX_Center)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Y3091.00
(High_Y_CutOff)
G00 X 1244.05 Y3069.50
G01 X-38.1 F8000
G01 Z0.0
G01 X1244.05
G00 Z50.0
G00 X1244.05 Y3100.0
G00 Z50.0
G00 X1244.05 Y3100.0
M05
G40 G80 G91 G28 Z0 M5
M30
M05
G40 G80 G91 G28 Z0 M5
M30
</v>
      </c>
      <c r="D24" t="s">
        <v>124</v>
      </c>
      <c r="G24" s="26">
        <f>IF(OR(C13&lt;22.9,HPocket_X0=0),0,Width-HPocket_X0)</f>
        <v>0</v>
      </c>
      <c r="K24" s="26">
        <f>IF(TopPocket_X1=0,0,Width-TopPocket_X1)</f>
        <v>1.75</v>
      </c>
      <c r="O24">
        <f>Height/2</f>
        <v>60</v>
      </c>
    </row>
    <row r="25" spans="2:21" ht="16.5" thickTop="1" thickBot="1" x14ac:dyDescent="0.3">
      <c r="B25" s="5"/>
      <c r="C25" s="3"/>
      <c r="K25" s="26">
        <f>IF(TopPocket_XM=0,0,(Width-TopPocket_XM))</f>
        <v>0</v>
      </c>
    </row>
    <row r="26" spans="2:21" ht="16.5" thickTop="1" thickBot="1" x14ac:dyDescent="0.3">
      <c r="B26" s="4" t="s">
        <v>155</v>
      </c>
      <c r="C26" s="31" t="str">
        <f ca="1">CEILING</f>
        <v xml:space="preserve">(##### PGM Ceiling)
(Standard Ceiling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(Far_Male_X)
G01 X333.38 Z-31.00 F2000
G01 Y3100.0 F3500
G00Z25.0
M05
G91 G28 Z0
M6 T5
G00 G90 G54 S6000 M3
G43H5
G00 Y3100.0 Z50.0
G00 X-25.0
(X0_Vpocket_Y7_Center)
(X0_Vpocket_Y6_Center)
G00 X-15.0 Y2793.13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Y253.13
(&gt;&gt;&gt;SUB X0VPocket)
G91
G01 Y-42.0  Z-50.8 F2500
X52.46
Y84.0
X-52.46
G90
G00 Z50.0
G00 X-25.0
(&lt;&lt;&lt;SUB X0VPocket)
(X0_Vpocket_Y1_Center)
G00 Y-25.0
G00 X327.98
(DX_Vpocket_Y1_Center)
(DX_Vpocket_Y2_Center)
G00 Y253.13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Y2793.13
(&gt;&gt;&gt;SUB DXVPocket)
G91
G01 Y42.0 Z-50.8 F2500
X-42
Y-86.0
X42
Y86 
G90
G00Z50.0
(&lt;&lt;&lt;SUB DXVPocket)
(DX_Vpocket_Y7_Center)
G00 Y3091.00
(High_Y_CutOff)
G00 X 1244.05 Y3054.50
G01 X-38.1 F8000
G01 Z0.0
G01 X1244.05
G00 Z50.0
G00 X1244.05 Y3100.0
M05
G91 G28 Z0
M6 T6
G00 G90 G54 S10000 M3
G43H6
G00 Y3100.0 Z80.647
(Far_MalePre_X)
G00 X1350.0
(High_TopFemale)
G00 Y2997.20
G01 X-50.0 F4250
G00 Y50.8
(Far_MalePre_X)
G01 X1350.0 F4250
G00 Z50.0
G00 Y3100.0
M05
G91 G28 Z0
M6 T1
G00 G90 G54 S18000 M3
G43H1
G00 Y3100.0 Z110.0
G00Z60.5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X254.00 Y2994.03
(&gt;&gt;&gt;SUB TopPocket)
G00 Z66.93
G91
G01 Y44.0 F2500
X41.0
Y-85.0
X-85.0
Y85.0
X45.0
Y-10.0
X34.0
Y-68.0
X-68.0
Y68.0
X34.0
Y-10.0
X24.0
Y-48.0
X-48.0
Y48.0
X24.0
Y-10.0
X14.0
Y-28.0
X-28.0
Y28.0
X14.0
Y-10.0
X4.0
Y-8.0
X-8.0
Y8.0
X4.0
G90
G00 Z110.0
(&lt;&lt;&lt;END SUB TopPocket)
(Y0_TopPocket_X0_Center)
G00 X254.00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X53.98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D26" t="s">
        <v>124</v>
      </c>
      <c r="G26" t="s">
        <v>198</v>
      </c>
      <c r="K26" s="26">
        <f>IF(TopPocket_X0=0,0,Width-TopPocket_X0)</f>
        <v>1.75</v>
      </c>
    </row>
    <row r="27" spans="2:21" ht="16.5" thickTop="1" thickBot="1" x14ac:dyDescent="0.3">
      <c r="B27" s="5"/>
      <c r="C27" s="3"/>
    </row>
    <row r="28" spans="2:21" ht="16.5" thickTop="1" thickBot="1" x14ac:dyDescent="0.3">
      <c r="B28" s="4" t="s">
        <v>309</v>
      </c>
      <c r="C28" s="31" t="str">
        <f ca="1">DOOR_FLOOR</f>
        <v>(##### PGM DOOR FLOOR)
(Standard DOOR FLOOR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(Far_Male_X)
G01 X333.38 Z-31.00 F2000
G01 Y3100.0 F3500
G00Z25.0
M05
G91 G28 Z0
M6 T5
G00 G90 G54 S6000 M3
G43H5
G00 Y3100.0 Z50.0
G00 X-25.0
(X0_Vpocket_Y7_Center)
(X0_Vpocket_Y6_Center)
G00 X-15.0 Y2793.13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Y253.13
(&gt;&gt;&gt;SUB X0VPocket)
G91
G01 Y-42.0  Z-50.8 F2500
X52.46
Y84.0
X-52.46
G90
G00 Z50.0
G00 X-25.0
(&lt;&lt;&lt;SUB X0VPocket)
(X0_Vpocket_Y1_Center)
G00 Y-25.0
G00 X327.98
(DX_Vpocket_Y1_Center)
(DX_Vpocket_Y2_Center)
G00 Y253.13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Y2793.13
(&gt;&gt;&gt;SUB DXVPocket)
G91
G01 Y42.0 Z-50.8 F2500
X-42
Y-86.0
X42
Y86 
G90
G00Z50.0
(&lt;&lt;&lt;SUB DXVPocket)
(DX_Vpocket_Y7_Center)
G00 Y3091.00
(High_Y_CutOff)
G00 X 1244.05 Y3054.50
G01 X-38.1 F8000
G01 Z0.0
G01 X1244.05
G00 Z50.0
G00 X1244.05 Y3100.0
M05
G91 G28 Z0
M6 T6
G00 G90 G54 S10000 M3
G43H6
G00 Y3100.0 Z80.647
(Far_MalePre_X)
G00 X1350.0
(High_TopFemale)
G00 Y2997.20
G01 X-50.0 F4250
G00 Y50.8
(Far_MalePre_X)
G01 X1350.0 F4250
G00 Z50.0
G00 Y3100.0
M05
G91 G28 Z0
M6 T1
G00 G90 G54 S18000 M3
G43H1
G00 Y3100.0 Z110.0
G00Z60.5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X254.00 Y2994.03
(&gt;&gt;&gt;SUB TopPocket)
G00 Z66.93
G91
G01 Y44.0 F2500
X41.0
Y-85.0
X-85.0
Y85.0
X45.0
Y-10.0
X34.0
Y-68.0
X-68.0
Y68.0
X34.0
Y-10.0
X24.0
Y-48.0
X-48.0
Y48.0
X24.0
Y-10.0
X14.0
Y-28.0
X-28.0
Y28.0
X14.0
Y-10.0
X4.0
Y-8.0
X-8.0
Y8.0
X4.0
G90
G00 Z110.0
(&lt;&lt;&lt;END SUB TopPocket)
(Y0_TopPocket_X0_Center)
G00 X152.40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X1035.05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v>
      </c>
      <c r="D28" t="s">
        <v>124</v>
      </c>
      <c r="G28" t="s">
        <v>276</v>
      </c>
    </row>
    <row r="29" spans="2:21" ht="16.5" thickTop="1" thickBot="1" x14ac:dyDescent="0.3">
      <c r="B29" s="5"/>
      <c r="C29" s="3"/>
      <c r="G29" s="26">
        <f>IF(OR(C18&lt;22.9,HPocket_X0=0),0,Width-HPocket_X0)</f>
        <v>0</v>
      </c>
      <c r="O29" t="s">
        <v>198</v>
      </c>
    </row>
    <row r="30" spans="2:21" ht="16.5" thickTop="1" thickBot="1" x14ac:dyDescent="0.3">
      <c r="B30" s="4" t="s">
        <v>177</v>
      </c>
      <c r="C30" s="31" t="str">
        <f ca="1">FEMALE_CEILING_END</f>
        <v>(##### PGM Female Ceiling End)
(Standard Female Ceiling End Panel 11.75" x 120" Finished)
(Created 01/13/26)
G40 G80 G91 G28 Z0
M6 T7
S6000 M3
G54 G90
G43H7
G00 Y3100.0 Z50.0
G00 X-11.74
G01 Z15.28 F2000
G01 Y-50.0 F4000
X-38.10
G00 Z50.0
G00 Y3100.0
M05
G91 G28 Z0
M6 T6
G00 G90 G54 S10000 M3
G43H6
G0Y 3100.0 Z110.0
G00 X254.00 Y2997.20
G01 Z80.65 F2000
G01 X-38.1 F4250
G01 Z110.0
G01 X254.00
G01 Z80.65 F2000
G01 Y50.8 F4250
G01 Z110.0
G01 X-38.1
G01 Z80.65 F2000
G01 X254.00 F4250
G00 Z110.0
G00 Y3100.0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Y3100.0
M05
G91 G28 Z0
M6 T1
G00 G90 G54 S18000 M3
G43H1
G00 Y3100.0 Z110.0
G00Z110.0
G00 X53.98 Y3050.00
(DY_TopPocket_X1_Center)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X44.45 Y2994.03
(&gt;&gt;&gt;SUB TopPocket)
G00 Z66.93
G91
G01 Y44.0 F2500
X41.0
Y-85.0
X-85.0
Y85.0
X45.0
Y-10.0
X34.0
Y-68.0
X-68.0
Y68.0
X34.0
Y-10.0
X24.0
Y-48.0
X-48.0
Y48.0
X24.0
Y-10.0
X14.0
Y-28.0
X-28.0
Y28.0
X14.0
Y-10.0
X4.0
Y-8.0
X-8.0
Y8.0
X4.0
G90
G00 Z110.0
(&lt;&lt;&lt;END SUB TopPocket)
(TopPocket_Y8_Center)
G00 X255.28 Y2844.80
(&gt;&gt;&gt;SUB TopPocket)
G00 Z66.93
G91
G01 Y44.0 F2500
X41.0
Y-85.0
X-85.0
Y85.0
X45.0
Y-10.0
X34.0
Y-68.0
X-68.0
Y68.0
X34.0
Y-10.0
X24.0
Y-48.0
X-48.0
Y48.0
X24.0
Y-10.0
X14.0
Y-28.0
X-28.0
Y28.0
X14.0
Y-10.0
X4.0
Y-8.0
X-8.0
Y8.0
X4.0
G90
G00 Z110.0
(&lt;&lt;&lt;END SUB TopPocket)
(TopPocket_Y7_Center)
G00 X255.28 Y1930.40
(&gt;&gt;&gt;SUB TopPocket)
G00 Z66.93
G91
G01 Y44.0 F2500
X41.0
Y-85.0
X-85.0
Y85.0
X45.0
Y-10.0
X34.0
Y-68.0
X-68.0
Y68.0
X34.0
Y-10.0
X24.0
Y-48.0
X-48.0
Y48.0
X24.0
Y-10.0
X14.0
Y-28.0
X-28.0
Y28.0
X14.0
Y-10.0
X4.0
Y-8.0
X-8.0
Y8.0
X4.0
G90
G00 Z110.0
(&lt;&lt;&lt;END SUB TopPocket)
(TopPocket_Y6_Center)
G00 X255.28 Y1625.60
(&gt;&gt;&gt;SUB TopPocket)
G00 Z66.93
G91
G01 Y44.0 F2500
X41.0
Y-85.0
X-85.0
Y85.0
X45.0
Y-10.0
X34.0
Y-68.0
X-68.0
Y68.0
X34.0
Y-10.0
X24.0
Y-48.0
X-48.0
Y48.0
X24.0
Y-10.0
X14.0
Y-28.0
X-28.0
Y28.0
X14.0
Y-10.0
X4.0
Y-8.0
X-8.0
Y8.0
X4.0
G90
G00 Z110.0
(&lt;&lt;&lt;END SUB TopPocket)
(TopPocket_Y5_Center)
G00 X255.28 Y1320.80
(&gt;&gt;&gt;SUB TopPocket)
G00 Z66.93
G91
G01 Y44.0 F2500
X41.0
Y-85.0
X-85.0
Y85.0
X45.0
Y-10.0
X34.0
Y-68.0
X-68.0
Y68.0
X34.0
Y-10.0
X24.0
Y-48.0
X-48.0
Y48.0
X24.0
Y-10.0
X14.0
Y-28.0
X-28.0
Y28.0
X14.0
Y-10.0
X4.0
Y-8.0
X-8.0
Y8.0
X4.0
G90
G00 Z110.0
(&lt;&lt;&lt;END SUB TopPocket)
(TopPocket_Y4_Center)
G00 X255.28 Y1016.00
(&gt;&gt;&gt;SUB TopPocket)
G00 Z66.93
G91
G01 Y44.0 F2500
X41.0
Y-85.0
X-85.0
Y85.0
X45.0
Y-10.0
X34.0
Y-68.0
X-68.0
Y68.0
X34.0
Y-10.0
X24.0
Y-48.0
X-48.0
Y48.0
X24.0
Y-10.0
X14.0
Y-28.0
X-28.0
Y28.0
X14.0
Y-10.0
X4.0
Y-8.0
X-8.0
Y8.0
X4.0
G90
G00 Z110.0
(&lt;&lt;&lt;END SUB TopPocket)
(TopPocket_Y3_Center)
G00 X255.28 Y711.20
(&gt;&gt;&gt;SUB TopPocket)
G00 Z66.93
G91
G01 Y44.0 F2500
X41.0
Y-85.0
X-85.0
Y85.0
X45.0
Y-10.0
X34.0
Y-68.0
X-68.0
Y68.0
X34.0
Y-10.0
X24.0
Y-48.0
X-48.0
Y48.0
X24.0
Y-10.0
X14.0
Y-28.0
X-28.0
Y28.0
X14.0
Y-10.0
X4.0
Y-8.0
X-8.0
Y8.0
X4.0
G90
G00 Z110.0
(&lt;&lt;&lt;END SUB TopPocket)
(TopPocket_Y2_Center)
G00 X255.28 Y406.40
(&gt;&gt;&gt;SUB TopPocket)
G00 Z66.93
G91
G01 Y44.0 F2500
X41.0
Y-85.0
X-85.0
Y85.0
X45.0
Y-10.0
X34.0
Y-68.0
X-68.0
Y68.0
X34.0
Y-10.0
X24.0
Y-48.0
X-48.0
Y48.0
X24.0
Y-10.0
X14.0
Y-28.0
X-28.0
Y28.0
X14.0
Y-10.0
X4.0
Y-8.0
X-8.0
Y8.0
X4.0
G90
G00 Z110.0
(&lt;&lt;&lt;END SUB TopPocket)
(TopPocket_Y1_Center)
G00 X255.28 Y203.20
(&gt;&gt;&gt;SUB TopPocket)
G00 Z66.93
G91
G01 Y44.0 F2500
X41.0
Y-85.0
X-85.0
Y85.0
X45.0
Y-10.0
X34.0
Y-68.0
X-68.0
Y68.0
X34.0
Y-10.0
X24.0
Y-48.0
X-48.0
Y48.0
X24.0
Y-10.0
X14.0
Y-28.0
X-28.0
Y28.0
X14.0
Y-10.0
X4.0
Y-8.0
X-8.0
Y8.0
X4.0
G90
G00 Z110.0
(&lt;&lt;&lt;END SUB TopPocket)
(Y0_TopPocket_X0_Center)
G00 X44.45 Y53.98
(&gt;&gt;&gt;SUB TopPocket)
G00 Z66.93
G91
G01 Y44.0 F2500
X41.0
Y-85.0
X-85.0
Y85.0
X45.0
Y-10.0
X34.0
Y-68.0
X-68.0
Y68.0
X34.0
Y-10.0
X24.0
Y-48.0
X-48.0
Y48.0
X24.0
Y-10.0
X14.0
Y-28.0
X-28.0
Y28.0
X14.0
Y-10.0
X4.0
Y-8.0
X-8.0
Y8.0
X4.0
G90
G00 Z110.0
(&lt;&lt;&lt;END SUB TopPocket)
(Y1_TopPocket_X1_Center)
(Y2_TopPocket_X2_Center)
G00 X53.98 Y53.98
(&gt;&gt;&gt;SUB TopPocket)
G00 Z66.93
G91
G01 Y44.0 F2500
X41.0
Y-85.0
X-85.0
Y85.0
X45.0
Y-10.0
X34.0
Y-68.0
X-68.0
Y68.0
X34.0
Y-10.0
X24.0
Y-48.0
X-48.0
Y48.0
X24.0
Y-10.0
X14.0
Y-28.0
X-28.0
Y28.0
X14.0
Y-10.0
X4.0
Y-8.0
X-8.0
Y8.0
X4.0
G90
G00 Z110.0
(&lt;&lt;&lt;END SUB TopPocket)
G00 Z110.0
G00 Y3100
(End Cut&gt;&gt;&gt;)
M05
G91 G28 Z0
M6 T5
G00 G90 G54 S6000 M3
G43H5
G0 Z50.8
G0 Y3100.0
G0 X304.80
G01 Y3054.35  F8000
G01 X-38.1
G01 Z0.0 F2000
G01 X304.80 F8000
G91
G01 Y50.0
G90
G00 Z50.8
G00 X300.0 Y3100.0
(&lt;&lt;&lt;End Cut)
M05
G40 G80 G91 G28 Z0 M5
M30</v>
      </c>
      <c r="D30" t="s">
        <v>124</v>
      </c>
      <c r="O30">
        <v>38.5</v>
      </c>
    </row>
    <row r="31" spans="2:21" ht="16.5" thickTop="1" thickBot="1" x14ac:dyDescent="0.3">
      <c r="B31" s="5"/>
      <c r="C31" s="3"/>
    </row>
    <row r="32" spans="2:21" ht="16.5" thickTop="1" thickBot="1" x14ac:dyDescent="0.3">
      <c r="B32" s="4" t="s">
        <v>178</v>
      </c>
      <c r="C32" s="31" t="str">
        <f ca="1">MALE_CEILING_END</f>
        <v xml:space="preserve">(##### PGM Male Ceiling End)
(Standard Male Ceiling End Panel 11.75" x 120" Finished)
(Created 01/13/26)
G40 G80 G91 G28 Z0
M6 T8
S4500 M3
G54 G90
G43H8
G00 Y3100.0 Z25.0
(Far_MalePre_X)
G00 X1350.0
G00 Y-50.0
(Far_Male_X)
G01 X1212.85 Z-31.00 F2000
G01 Y3100.0 F3500
G00Z25.0
M05
G91 G28 Z0
M6 T6
G00 G90 G54 S10000 M3
G43H6
G0Y 3100.0 Z110.0
G00 X1350.0 Y2997.20
G01 Z80.65 F2000
G01 X939.80 F4250
G01 Y50.8
G01 X1350.0
G00 Z110.0
G00 Y3100.0
M05
G91 G28 Z0
M6 T5
G00 G90 G54 S6000 M3
G43H5
G00 Y3100.0 Z50.0
G00 X1209.04
(DX_Vpocket_Y7_Center)
(DX_Vpocket_Y6_Center)
G00 X1215.39 Y2805.83
(&gt;&gt;&gt;SUB DXVPocket)
G91
G01 Y42.0 Z-50.8 F2500
X-42
Y-86.0
X42
Y86 
G90
G00Z50.0
(&lt;&lt;&lt;SUB DXVPocket)
(DX_Vpocket_Y5_Center)
(DX_Vpocket_Y4_Center)
G00 X1215.39 Y1535.83
(&gt;&gt;&gt;SUB DXVPocket)
G91
G01 Y42.0 Z-50.8 F2500
X-42
Y-86.0
X42
Y86 
G90
G00Z50.0
(&lt;&lt;&lt;SUB DXVPocket)
(DX_Vpocket_Y3_Center)
(DX_Vpocket_Y2_Center)
G00 X1215.39 Y264.56
(&gt;&gt;&gt;SUB DXVPocket)
G91
G01 Y42.0 Z-50.8 F2500
X-42
Y-86.0
X42
Y86 
G90
G00Z50.0
(&lt;&lt;&lt;SUB DXVPocket)
(DX_Vpocket_Y1_Center)
G00 X1209.04
G00 Y3100.0
M05
G91 G28 Z0
M6 T1
G00 G90 G54 S18000 M3
G43H1
G00 Y3100.0 Z110.0
G00 X44.45 Y3050.00
G00Z110.0
(DY_TopPocket_X1_Center)
G00 X1136.65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X1136.65 Y2994.03
(&gt;&gt;&gt;SUB TopPocket)
G00 Z66.93
G91
G01 Y44.0 F2500
X41.0
Y-85.0
X-85.0
Y85.0
X45.0
Y-10.0
X34.0
Y-68.0
X-68.0
Y68.0
X34.0
Y-10.0
X24.0
Y-48.0
X-48.0
Y48.0
X24.0
Y-10.0
X14.0
Y-28.0
X-28.0
Y28.0
X14.0
Y-10.0
X4.0
Y-8.0
X-8.0
Y8.0
X4.0
G90
G00 Z110.0
(&lt;&lt;&lt;END SUB TopPocket)
(TopPocket_Y8_Center)
G00 X935.66 Y2844.80
(&gt;&gt;&gt;SUB TopPocket)
G00 Z66.93
G91
G01 Y44.0 F2500
X41.0
Y-85.0
X-85.0
Y85.0
X45.0
Y-10.0
X34.0
Y-68.0
X-68.0
Y68.0
X34.0
Y-10.0
X24.0
Y-48.0
X-48.0
Y48.0
X24.0
Y-10.0
X14.0
Y-28.0
X-28.0
Y28.0
X14.0
Y-10.0
X4.0
Y-8.0
X-8.0
Y8.0
X4.0
G90
G00 Z110.0
(&lt;&lt;&lt;END SUB TopPocket)
(TopPocket_Y7_Center)
G00 X935.66 Y1930.40
(&gt;&gt;&gt;SUB TopPocket)
G00 Z66.93
G91
G01 Y44.0 F2500
X41.0
Y-85.0
X-85.0
Y85.0
X45.0
Y-10.0
X34.0
Y-68.0
X-68.0
Y68.0
X34.0
Y-10.0
X24.0
Y-48.0
X-48.0
Y48.0
X24.0
Y-10.0
X14.0
Y-28.0
X-28.0
Y28.0
X14.0
Y-10.0
X4.0
Y-8.0
X-8.0
Y8.0
X4.0
G90
G00 Z110.0
(&lt;&lt;&lt;END SUB TopPocket)
(TopPocket_Y6_Center)
G00 X935.66 Y1625.60
(&gt;&gt;&gt;SUB TopPocket)
G00 Z66.93
G91
G01 Y44.0 F2500
X41.0
Y-85.0
X-85.0
Y85.0
X45.0
Y-10.0
X34.0
Y-68.0
X-68.0
Y68.0
X34.0
Y-10.0
X24.0
Y-48.0
X-48.0
Y48.0
X24.0
Y-10.0
X14.0
Y-28.0
X-28.0
Y28.0
X14.0
Y-10.0
X4.0
Y-8.0
X-8.0
Y8.0
X4.0
G90
G00 Z110.0
(&lt;&lt;&lt;END SUB TopPocket)
(TopPocket_Y5_Center)
G00 X935.66 Y1320.80
(&gt;&gt;&gt;SUB TopPocket)
G00 Z66.93
G91
G01 Y44.0 F2500
X41.0
Y-85.0
X-85.0
Y85.0
X45.0
Y-10.0
X34.0
Y-68.0
X-68.0
Y68.0
X34.0
Y-10.0
X24.0
Y-48.0
X-48.0
Y48.0
X24.0
Y-10.0
X14.0
Y-28.0
X-28.0
Y28.0
X14.0
Y-10.0
X4.0
Y-8.0
X-8.0
Y8.0
X4.0
G90
G00 Z110.0
(&lt;&lt;&lt;END SUB TopPocket)
(TopPocket_Y4_Center)
G00 X935.66 Y1016.00
(&gt;&gt;&gt;SUB TopPocket)
G00 Z66.93
G91
G01 Y44.0 F2500
X41.0
Y-85.0
X-85.0
Y85.0
X45.0
Y-10.0
X34.0
Y-68.0
X-68.0
Y68.0
X34.0
Y-10.0
X24.0
Y-48.0
X-48.0
Y48.0
X24.0
Y-10.0
X14.0
Y-28.0
X-28.0
Y28.0
X14.0
Y-10.0
X4.0
Y-8.0
X-8.0
Y8.0
X4.0
G90
G00 Z110.0
(&lt;&lt;&lt;END SUB TopPocket)
(TopPocket_Y3_Center)
G00 X935.66 Y711.20
(&gt;&gt;&gt;SUB TopPocket)
G00 Z66.93
G91
G01 Y44.0 F2500
X41.0
Y-85.0
X-85.0
Y85.0
X45.0
Y-10.0
X34.0
Y-68.0
X-68.0
Y68.0
X34.0
Y-10.0
X24.0
Y-48.0
X-48.0
Y48.0
X24.0
Y-10.0
X14.0
Y-28.0
X-28.0
Y28.0
X14.0
Y-10.0
X4.0
Y-8.0
X-8.0
Y8.0
X4.0
G90
G00 Z110.0
(&lt;&lt;&lt;END SUB TopPocket)
(TopPocket_Y2_Center)
G00 X935.66 Y406.40
(&gt;&gt;&gt;SUB TopPocket)
G00 Z66.93
G91
G01 Y44.0 F2500
X41.0
Y-85.0
X-85.0
Y85.0
X45.0
Y-10.0
X34.0
Y-68.0
X-68.0
Y68.0
X34.0
Y-10.0
X24.0
Y-48.0
X-48.0
Y48.0
X24.0
Y-10.0
X14.0
Y-28.0
X-28.0
Y28.0
X14.0
Y-10.0
X4.0
Y-8.0
X-8.0
Y8.0
X4.0
G90
G00 Z110.0
(&lt;&lt;&lt;END SUB TopPocket)
(TopPocket_Y1_Center)
G00 X935.66 Y203.20
(&gt;&gt;&gt;SUB TopPocket)
G00 Z66.93
G91
G01 Y44.0 F2500
X41.0
Y-85.0
X-85.0
Y85.0
X45.0
Y-10.0
X34.0
Y-68.0
X-68.0
Y68.0
X34.0
Y-10.0
X24.0
Y-48.0
X-48.0
Y48.0
X24.0
Y-10.0
X14.0
Y-28.0
X-28.0
Y28.0
X14.0
Y-10.0
X4.0
Y-8.0
X-8.0
Y8.0
X4.0
G90
G00 Z110.0
(&lt;&lt;&lt;END SUB TopPocket)
(Y0_TopPocket_X0_Center)
G00 X1136.65 Y53.98
(&gt;&gt;&gt;SUB TopPocket)
G00 Z66.93
G91
G01 Y44.0 F2500
X41.0
Y-85.0
X-85.0
Y85.0
X45.0
Y-10.0
X34.0
Y-68.0
X-68.0
Y68.0
X34.0
Y-10.0
X24.0
Y-48.0
X-48.0
Y48.0
X24.0
Y-10.0
X14.0
Y-28.0
X-28.0
Y28.0
X14.0
Y-10.0
X4.0
Y-8.0
X-8.0
Y8.0
X4.0
G90
G00 Z110.0
(&lt;&lt;&lt;END SUB TopPocket)
(Y1_TopPocket_X1_Center)
(Y2_TopPocket_X2_Center)
G00 X1136.65 Y53.98
(&gt;&gt;&gt;SUB TopPocket)
G00 Z66.93
G91
G01 Y44.0 F2500
X41.0
Y-85.0
X-85.0
Y85.0
X45.0
Y-10.0
X34.0
Y-68.0
X-68.0
Y68.0
X34.0
Y-10.0
X24.0
Y-48.0
X-48.0
Y48.0
X24.0
Y-10.0
X14.0
Y-28.0
X-28.0
Y28.0
X14.0
Y-10.0
X4.0
Y-8.0
X-8.0
Y8.0
X4.0
G90
G00 Z110.0
(&lt;&lt;&lt;END SUB TopPocket)
G00 Z110.0
G00 Y3100
(End Cut&gt;&gt;&gt;)
M05
G91 G28 Z0
M6 T5
G00 G90 G54 S6000 M3
G43H5
G0 Z50.8
G0 Y3100.0
G0 X1350.0
G00 Y3054.35
G01 X876.30 F8000
G01 Z0.0 F2000
G01 X1350.0 F8000
G00 Z50.8
G00 X300.0 Y3100.0
(&lt;&lt;&lt;End Cut)
M05
G40 G80 G91 G28 Z0 M5
M30
</v>
      </c>
      <c r="D32" t="s">
        <v>124</v>
      </c>
    </row>
    <row r="33" spans="2:15" ht="16.5" thickTop="1" thickBot="1" x14ac:dyDescent="0.3">
      <c r="C33" s="3"/>
      <c r="G33" s="78" t="s">
        <v>317</v>
      </c>
      <c r="H33" s="78"/>
      <c r="I33" s="86"/>
      <c r="J33" s="78"/>
      <c r="K33" s="78"/>
      <c r="L33" s="78"/>
      <c r="M33" s="78"/>
      <c r="N33" s="78"/>
      <c r="O33" s="78"/>
    </row>
    <row r="34" spans="2:15" ht="16.5" thickTop="1" thickBot="1" x14ac:dyDescent="0.3">
      <c r="B34" s="4" t="s">
        <v>278</v>
      </c>
      <c r="C34" s="61" t="str">
        <f ca="1">_xlfn.TEXTJOIN(CHAR(10),FALSE,PGM_SPECIAL_T)</f>
        <v xml:space="preserve">(##### PGM Special T)
(Standard Special T11.75" x 120" Finished)
(Created 01/13/26)
G40 G80 G91 G28 Z0
M6 T7
S6000 M3
G54 G90
G43H7
G00 Y3100.0 Z50.0
G00 X-11.74
G01 Z15.28 F2000
G01 Y-50.0 F4000
X-38.10
G00 Z50.0
G00 Y3100.0
M05
G91 G28 Z0
M6 T8
G00 G90 G54 S4500 M3
G43H8
G00 Z25.0
(Far_MalePre_X)
G00 Y3100.0 Z25.0
G00 X1350.0
G00 Y-50.0
(Far_Male_X)
G01 X333.38 Z-31.00 F2000
G01 Y3100.0 F3500
(Top_Connecting_Male)
G01 X1350.0
G01 Y3089.66
G01 X-50.0
G00 Z25.0
G00 Y3100.0
G00 X1350.0
G00 Z25.0
M05
M6 T6
G00 G90 G54 S10000 M3
G43H6
G0Y 3100.0 Z110.0
G00 X304.80 Y2997.20
G01 Z80.65 F2000
G01 X-38.1 F4250
G01 Z110.0 F2000
G01 X301.625 F4250
G01 Z80.65 F2000
G01 Y0 F4250
G01 Z110.0 F2000
G01 X-38.1 F4250
G01 Z80.65 F2000
G00 Z110.0
G00 Y3100.0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G00 X327.98
(DX_Vpocket_Y1_Center)
(DX_Vpocket_Y2_Center)
G00 Y265.83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Y3091.00
(High_Y_CutOff)
G00 X 1244.05 Y3054.50
G01 X-38.1 F8000
G01 Z0.0
G01 X1244.05
G00 Z50.0
G00 X1244.05 Y3100.0
M05
G91 G28 Z0
M6 T1
G00 G90 G54 S18000 M3
G43H1
G00 Y3100.0 Z110.0
G00Z60.5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X254.00 Y2994.03
(&gt;&gt;&gt;SUB TopPocket)
G00 Z66.93
G91
G01 Y44.0 F2500
X41.0
Y-85.0
X-85.0
Y85.0
X45.0
Y-10.0
X34.0
Y-68.0
X-68.0
Y68.0
X34.0
Y-10.0
X24.0
Y-48.0
X-48.0
Y48.0
X24.0
Y-10.0
X14.0
Y-28.0
X-28.0
Y28.0
X14.0
Y-10.0
X4.0
Y-8.0
X-8.0
Y8.0
X4.0
G90
G00 Z110.0
(&lt;&lt;&lt;END SUB TopPocket)
(Y0_TopPocket_X0_Center)
G00 X254.00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X53.98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D34" t="s">
        <v>124</v>
      </c>
      <c r="G34" s="78" t="s">
        <v>318</v>
      </c>
      <c r="H34" s="78"/>
      <c r="I34" s="78"/>
      <c r="J34" s="78"/>
      <c r="K34" s="78"/>
      <c r="L34" s="78"/>
      <c r="M34" s="78"/>
      <c r="N34" s="78"/>
      <c r="O34" s="78"/>
    </row>
    <row r="35" spans="2:15" ht="16.5" thickTop="1" thickBot="1" x14ac:dyDescent="0.3">
      <c r="G35" s="78">
        <v>5.69</v>
      </c>
      <c r="H35" s="78" t="s">
        <v>319</v>
      </c>
      <c r="I35" s="78"/>
      <c r="J35" s="78"/>
      <c r="K35" s="78"/>
      <c r="L35" s="78"/>
      <c r="M35" s="78"/>
      <c r="N35" s="78"/>
      <c r="O35" s="78"/>
    </row>
    <row r="36" spans="2:15" ht="16.5" thickTop="1" thickBot="1" x14ac:dyDescent="0.3">
      <c r="B36" s="4" t="s">
        <v>360</v>
      </c>
      <c r="C36" s="61" t="str">
        <f ca="1">_xlfn.TEXTJOIN(CHAR(10),FALSE,PGM_Female_Connected_Ceiling)</f>
        <v xml:space="preserve">(##### PGM Female Connected Ceiling)
(Standard Female Connected Ceiling Panel 11.75" x 120" Finished)
(Created 01/13/26)
G40 G80 G91 G28 Z0
M6 T7
S6000 M3
G54 G90
G43H7
G00 Y3100.0 Z50.0
G00 X-11.74
G01 Z15.28 F2000
G01 Y-50.0 F4000
G01 Y-15.27
 G01 X1350
G00 Z50.0
G00 Y3100.0
M05
G91 G28 Z0
M6 T8
G00 G90 G54 S6000 M3
G43H8
G00 Z25.0
(Far_MalePre_X)
G00 Y3100.0 Z25.0
G00 X1350.0
G00 Y-50.0
(Far_Male_X)
G01 X333.38 Z-31.00 F2000
G01 Y3100.0 F3500
G00Z25.0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(Y0_HPocket_X0_Center)
G00 X257.18 Y-12.0
(&gt;&gt;&gt;DIFF Y0HPocket)
G91
G01 X-42.0 F2500
Y52.87000094
X84.0
Y-52.87000094
X-84 Z-50.8
Y52.87000094
X84.0
Y-52.87000094
X-42.0
G90
G00Z50.0
G00Y-50.0
(&lt;&lt;&lt;DIFF Y0HPocket)
(Y0_HPocket_XM_Center)
(Y0_HPocket_DX_Center)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Y3091.00
(High_Y_CutOff)
G00 X 1244.05 Y3069.50
G01 X-38.1 F8000
G01 Z0.0
G01 X1244.05
G00 Z50.0
G00 X1244.05 Y3100.0
G00 Z50.0
G00 X1244.05 Y3100.0
M05
G91 G28 Z0
M6 T6
G00 G90 G54 S10000 M3
G43H6
G00 Y3100.0 Z80.647
(Far_MalePre_X)
G00 X1350.0
(High_TopFemale)
G00 Y2997.20
G01 X-50.0 F4250
G00 Z50.0
G00 Y3100.0
M05
G91 G28 Z0
M6 T1
G00 G90 G54 S18000 M3
G43H1
G00 Y3100.0 Z110.0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X263.53 Y2994.03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D36" t="s">
        <v>124</v>
      </c>
      <c r="G36" s="78">
        <v>13.06</v>
      </c>
      <c r="H36" s="78" t="s">
        <v>320</v>
      </c>
      <c r="I36" s="78"/>
      <c r="J36" s="78" t="s">
        <v>321</v>
      </c>
      <c r="K36" s="78"/>
      <c r="L36" s="78"/>
      <c r="M36" s="78"/>
      <c r="N36" s="78"/>
      <c r="O36" s="78"/>
    </row>
    <row r="37" spans="2:15" ht="16.5" thickTop="1" thickBot="1" x14ac:dyDescent="0.3"/>
    <row r="38" spans="2:15" ht="16.5" thickTop="1" thickBot="1" x14ac:dyDescent="0.3">
      <c r="B38" s="4" t="s">
        <v>361</v>
      </c>
      <c r="C38" s="61" t="str">
        <f ca="1">_xlfn.TEXTJOIN(CHAR(10),FALSE,PGM_Male_Connected_Ceiling)</f>
        <v xml:space="preserve">(##### PGM Male Connected Ceiling)
(Standard Male Connected Ceiling Panel 11.75" x 120" Finished)
(Created 01/13/26)
G40 G80 G91 G28 Z0
M6 T7
S6000 M3
G54 G90
G43H7
G00 Y3100.0 Z50.0
G00 X-11.74
G01 Z15.28 F2000
G01 Y-50.0 F4000
X-38.10
G00 Z50.0
G00 Y3100.0
M05
G91 G28 Z0
M6 T8
G00 G90 G54 S6000 M3
G43H8
G00 Z25.0
(Far_MalePre_X)
G00 Y3100.0 Z25.0
G00 X1350.0
G00 Y-50.0
(Far_Male_X)
G01 X333.38 Z-31.00 F2000
G01 Y3100.0 F3500
(Top_Connecting_Male)
G01 X1350.0
G01 Y3089.66
G01 X-50.0
G00 Z25.0
G00 Y3100.0
G00 X1350.0
G00 Z25.0
M05
G91 G28 Z0
M6 T5
G00 G90 G54 M3 S9000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Y3076.00
(DY_HPocket_DX_Center)
(DY_HPocket_XM_Center)
(DY_HPocket_X0_Center)
G00 X257.18Y3103.70
(&gt;&gt;&gt;SUB DYHPocket)
G91
G01 X-42.0 F2500
Y-61.6
X84.0
Y+61.6
X-84 Z-50.8
Y-61.6
X84.0
Y+61.6
X-42.0
G90
G00Z50.0
G00 Y3103.70
(&lt;&lt;&lt;SUB DYHPocket)
G00 Z50.0
G00 X1244.05 Y3100.0
G00 Z50.0
G00 X1244.05 Y3100.0
M05
G91 G28 Z0
M6 T6
G00 G90 G54 S10000 M3
G43H6
G00 Y3100.0 Z80.647
(Far_MalePre_X)
G00 X1350.0
G01 X-50.0 F4250
G00 Y50.8
(Far_MalePre_X)
G01 X1350.0 F4250
G00 Z50.0
G00 Y3100.0
M05
G91 G28 Z0
M6 T1
G00 G90 G54 S18000 M3
G43H1
G00 Y3100.0 Z110.0
G00 X44.45 Y3050.00
(Y0_TopPocket_X0_Center)
G00 X257.18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X53.98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D38" t="s">
        <v>124</v>
      </c>
    </row>
    <row r="39" spans="2:15" ht="15.75" thickTop="1" x14ac:dyDescent="0.2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4B7E6-5BA4-4E44-85B1-3FC8B4995202}">
  <sheetPr codeName="Sheet8"/>
  <dimension ref="A1:Z47"/>
  <sheetViews>
    <sheetView workbookViewId="0">
      <selection activeCell="J4" sqref="J4:R4"/>
    </sheetView>
  </sheetViews>
  <sheetFormatPr defaultRowHeight="15" x14ac:dyDescent="0.25"/>
  <cols>
    <col min="2" max="2" width="16.42578125" customWidth="1"/>
    <col min="3" max="3" width="9.28515625" customWidth="1"/>
    <col min="4" max="4" width="14.140625" customWidth="1"/>
    <col min="6" max="7" width="12.28515625" customWidth="1"/>
    <col min="15" max="15" width="10" bestFit="1" customWidth="1"/>
    <col min="17" max="17" width="11.5703125" customWidth="1"/>
    <col min="19" max="19" width="9.85546875" customWidth="1"/>
  </cols>
  <sheetData>
    <row r="1" spans="1:26" ht="15" customHeight="1" x14ac:dyDescent="0.25">
      <c r="A1" s="88" t="s">
        <v>286</v>
      </c>
      <c r="B1" s="88"/>
      <c r="C1" s="88"/>
      <c r="D1" s="88"/>
      <c r="E1" s="88"/>
      <c r="F1" s="88"/>
      <c r="G1" s="88"/>
      <c r="H1" s="88"/>
      <c r="J1" s="88" t="s">
        <v>290</v>
      </c>
      <c r="K1" s="88"/>
      <c r="L1" s="88"/>
      <c r="M1" s="88"/>
      <c r="N1" s="88"/>
      <c r="O1" s="88"/>
      <c r="P1" s="88"/>
      <c r="Q1" s="88"/>
      <c r="S1" s="88" t="s">
        <v>310</v>
      </c>
      <c r="T1" s="88"/>
      <c r="U1" s="88"/>
      <c r="V1" s="88"/>
      <c r="W1" s="88"/>
      <c r="X1" s="88"/>
      <c r="Y1" s="88"/>
      <c r="Z1" s="88"/>
    </row>
    <row r="2" spans="1:26" ht="15" customHeight="1" x14ac:dyDescent="0.25">
      <c r="A2" s="88"/>
      <c r="B2" s="88"/>
      <c r="C2" s="88"/>
      <c r="D2" s="88"/>
      <c r="E2" s="88"/>
      <c r="F2" s="88"/>
      <c r="G2" s="88"/>
      <c r="H2" s="88"/>
      <c r="J2" s="88"/>
      <c r="K2" s="88"/>
      <c r="L2" s="88"/>
      <c r="M2" s="88"/>
      <c r="N2" s="88"/>
      <c r="O2" s="88"/>
      <c r="P2" s="88"/>
      <c r="Q2" s="88"/>
      <c r="S2" s="88"/>
      <c r="T2" s="88"/>
      <c r="U2" s="88"/>
      <c r="V2" s="88"/>
      <c r="W2" s="88"/>
      <c r="X2" s="88"/>
      <c r="Y2" s="88"/>
      <c r="Z2" s="88"/>
    </row>
    <row r="3" spans="1:26" ht="15" customHeight="1" x14ac:dyDescent="0.25">
      <c r="B3" t="s">
        <v>202</v>
      </c>
    </row>
    <row r="4" spans="1:26" x14ac:dyDescent="0.25">
      <c r="B4" t="s">
        <v>287</v>
      </c>
      <c r="C4">
        <v>46.75</v>
      </c>
      <c r="J4" s="89" t="s">
        <v>291</v>
      </c>
      <c r="K4" s="89"/>
      <c r="L4" s="89"/>
      <c r="M4" s="89"/>
      <c r="N4" s="89"/>
      <c r="O4" s="89"/>
      <c r="P4" s="89"/>
      <c r="Q4" s="89"/>
      <c r="R4" s="89"/>
      <c r="T4">
        <v>46.75</v>
      </c>
      <c r="U4" t="s">
        <v>311</v>
      </c>
      <c r="V4">
        <v>10</v>
      </c>
      <c r="W4" s="12"/>
      <c r="X4" s="77">
        <v>10</v>
      </c>
    </row>
    <row r="5" spans="1:26" x14ac:dyDescent="0.25">
      <c r="B5" t="s">
        <v>288</v>
      </c>
      <c r="C5">
        <v>34.75</v>
      </c>
      <c r="J5" s="89" t="s">
        <v>292</v>
      </c>
      <c r="K5" s="89"/>
      <c r="L5" s="89"/>
      <c r="M5" s="89"/>
      <c r="N5" s="89"/>
      <c r="O5" s="89"/>
      <c r="P5" s="89"/>
      <c r="Q5" s="89"/>
      <c r="R5" s="89"/>
      <c r="T5">
        <v>34.75</v>
      </c>
      <c r="U5" t="s">
        <v>311</v>
      </c>
      <c r="V5">
        <v>10</v>
      </c>
      <c r="X5" s="77">
        <v>10</v>
      </c>
    </row>
    <row r="6" spans="1:26" x14ac:dyDescent="0.25">
      <c r="B6" t="s">
        <v>289</v>
      </c>
      <c r="C6">
        <v>22.75</v>
      </c>
      <c r="T6">
        <v>22.75</v>
      </c>
      <c r="U6" t="s">
        <v>311</v>
      </c>
      <c r="W6" s="12">
        <v>10</v>
      </c>
    </row>
    <row r="7" spans="1:26" x14ac:dyDescent="0.25">
      <c r="B7" t="s">
        <v>293</v>
      </c>
      <c r="C7">
        <v>12</v>
      </c>
      <c r="T7">
        <v>11.75</v>
      </c>
      <c r="U7" t="s">
        <v>311</v>
      </c>
      <c r="W7">
        <v>4</v>
      </c>
    </row>
    <row r="8" spans="1:26" x14ac:dyDescent="0.25">
      <c r="B8" t="s">
        <v>314</v>
      </c>
      <c r="C8">
        <v>11.375</v>
      </c>
      <c r="S8" t="s">
        <v>312</v>
      </c>
      <c r="T8">
        <v>19.5</v>
      </c>
      <c r="U8" t="s">
        <v>313</v>
      </c>
      <c r="V8">
        <v>4</v>
      </c>
      <c r="X8">
        <v>4</v>
      </c>
    </row>
    <row r="9" spans="1:26" x14ac:dyDescent="0.25">
      <c r="B9" t="s">
        <v>348</v>
      </c>
      <c r="C9">
        <v>30.5</v>
      </c>
    </row>
    <row r="10" spans="1:26" x14ac:dyDescent="0.25">
      <c r="B10" t="s">
        <v>349</v>
      </c>
      <c r="C10">
        <v>16</v>
      </c>
    </row>
    <row r="11" spans="1:26" x14ac:dyDescent="0.25">
      <c r="C11">
        <v>0.25</v>
      </c>
    </row>
    <row r="12" spans="1:26" x14ac:dyDescent="0.25">
      <c r="B12" t="s">
        <v>304</v>
      </c>
      <c r="C12" s="65">
        <v>0</v>
      </c>
    </row>
    <row r="17" spans="1:17" x14ac:dyDescent="0.25">
      <c r="A17" s="88" t="s">
        <v>294</v>
      </c>
      <c r="B17" s="88"/>
      <c r="C17" s="88"/>
      <c r="D17" s="88"/>
      <c r="E17" s="88"/>
      <c r="F17" s="88"/>
      <c r="G17" s="88"/>
      <c r="H17" s="88"/>
      <c r="J17" s="88" t="s">
        <v>315</v>
      </c>
      <c r="K17" s="88"/>
      <c r="L17" s="88"/>
      <c r="M17" s="88"/>
      <c r="N17" s="88"/>
      <c r="O17" s="88"/>
      <c r="P17" s="88"/>
      <c r="Q17" s="88"/>
    </row>
    <row r="18" spans="1:17" ht="15" customHeight="1" x14ac:dyDescent="0.25">
      <c r="A18" s="88"/>
      <c r="B18" s="88"/>
      <c r="C18" s="88"/>
      <c r="D18" s="88"/>
      <c r="E18" s="88"/>
      <c r="F18" s="88"/>
      <c r="G18" s="88"/>
      <c r="H18" s="88"/>
      <c r="J18" s="88"/>
      <c r="K18" s="88"/>
      <c r="L18" s="88"/>
      <c r="M18" s="88"/>
      <c r="N18" s="88"/>
      <c r="O18" s="88"/>
      <c r="P18" s="88"/>
      <c r="Q18" s="88"/>
    </row>
    <row r="19" spans="1:17" ht="15" customHeight="1" x14ac:dyDescent="0.25">
      <c r="C19" t="s">
        <v>303</v>
      </c>
    </row>
    <row r="20" spans="1:17" x14ac:dyDescent="0.25">
      <c r="B20" s="67" t="s">
        <v>295</v>
      </c>
      <c r="C20" s="68">
        <v>12</v>
      </c>
      <c r="K20" s="67" t="s">
        <v>322</v>
      </c>
      <c r="L20" s="67"/>
      <c r="O20" t="s">
        <v>316</v>
      </c>
    </row>
    <row r="21" spans="1:17" x14ac:dyDescent="0.25">
      <c r="B21" s="69" t="s">
        <v>296</v>
      </c>
      <c r="C21" s="70">
        <v>46.75</v>
      </c>
      <c r="K21" s="69" t="str">
        <f>"Pocket 2:     "&amp;IF(Panel_2=0,"",SUM(Corner,(IF(Panel_2=16,8,10))))</f>
        <v>Pocket 2:     22</v>
      </c>
      <c r="L21" s="69"/>
      <c r="O21" s="66">
        <f>SUM(Corner,C21:C26,Corner)</f>
        <v>82.75</v>
      </c>
    </row>
    <row r="22" spans="1:17" x14ac:dyDescent="0.25">
      <c r="B22" s="71" t="s">
        <v>297</v>
      </c>
      <c r="C22" s="72">
        <v>12</v>
      </c>
      <c r="K22" s="69" t="str">
        <f>"Pocket 3:     " &amp; IF(Panel_2=0,"",(Corner+Panel_2-IF(Panel_2=16,8,10)))</f>
        <v>Pocket 3:     48.75</v>
      </c>
      <c r="L22" s="69"/>
    </row>
    <row r="23" spans="1:17" x14ac:dyDescent="0.25">
      <c r="B23" s="73" t="s">
        <v>298</v>
      </c>
      <c r="C23" s="74">
        <v>0</v>
      </c>
      <c r="K23" s="71" t="str">
        <f>"Pocket 4:     " &amp; IF(Panel_3=0,"",SUM(Panel_1,Panel_2,IF(Panel_3=11.375,4,10)))</f>
        <v>Pocket 4:     68.75</v>
      </c>
      <c r="L23" s="71"/>
    </row>
    <row r="24" spans="1:17" x14ac:dyDescent="0.25">
      <c r="B24" t="s">
        <v>299</v>
      </c>
      <c r="C24" s="66">
        <v>0</v>
      </c>
      <c r="K24" s="71" t="str">
        <f>"Pocket 5:     " &amp; IF(Panel_3=0,"", (Panel_1+Panel_2+Panel_3-IF(Panel_3=11.375,4,10)))</f>
        <v>Pocket 5:     60.75</v>
      </c>
      <c r="L24" s="71"/>
    </row>
    <row r="25" spans="1:17" x14ac:dyDescent="0.25">
      <c r="B25" t="s">
        <v>300</v>
      </c>
      <c r="C25" s="66">
        <v>0</v>
      </c>
      <c r="K25" s="73" t="str">
        <f>"Pocket 6:     " &amp; IF(Panel_4=0,"",SUM(Panel_1,Panel_2,Panel_3,IF(Panel_4=16,8,10)))</f>
        <v xml:space="preserve">Pocket 6:     </v>
      </c>
      <c r="L25" s="73"/>
    </row>
    <row r="26" spans="1:17" x14ac:dyDescent="0.25">
      <c r="B26" t="s">
        <v>301</v>
      </c>
      <c r="C26" s="66">
        <v>0</v>
      </c>
      <c r="K26" s="73" t="str">
        <f>"Pocket 7:     " &amp; IF(Panel_4=0,"",(Panel_1+Panel_2+Panel_3+Panel_4-IF(Panel_4=16,8,10)))</f>
        <v xml:space="preserve">Pocket 7:     </v>
      </c>
      <c r="L26" s="73"/>
    </row>
    <row r="27" spans="1:17" x14ac:dyDescent="0.25">
      <c r="B27" t="s">
        <v>302</v>
      </c>
      <c r="C27" s="66">
        <v>0</v>
      </c>
      <c r="K27" s="75" t="str">
        <f>"Pocket 8:     " &amp; IF(Panel_1=0,"",(Panel_1+Panel_2+Panel_3+Panel_4-8))</f>
        <v>Pocket 8:     62.75</v>
      </c>
      <c r="L27" s="75"/>
    </row>
    <row r="28" spans="1:17" x14ac:dyDescent="0.25">
      <c r="N28" t="s">
        <v>334</v>
      </c>
    </row>
    <row r="29" spans="1:17" x14ac:dyDescent="0.25">
      <c r="N29" t="s">
        <v>326</v>
      </c>
    </row>
    <row r="30" spans="1:17" x14ac:dyDescent="0.25">
      <c r="N30" t="s">
        <v>335</v>
      </c>
    </row>
    <row r="31" spans="1:17" x14ac:dyDescent="0.25">
      <c r="N31" t="s">
        <v>336</v>
      </c>
    </row>
    <row r="33" spans="1:17" x14ac:dyDescent="0.25">
      <c r="A33" s="88" t="s">
        <v>305</v>
      </c>
      <c r="B33" s="88"/>
      <c r="C33" s="88"/>
      <c r="D33" s="88"/>
      <c r="E33" s="88"/>
      <c r="F33" s="88"/>
      <c r="G33" s="88"/>
      <c r="H33" s="88"/>
      <c r="J33" s="88" t="s">
        <v>325</v>
      </c>
      <c r="K33" s="88"/>
      <c r="L33" s="88"/>
      <c r="M33" s="88"/>
      <c r="N33" s="88"/>
      <c r="O33" s="88"/>
      <c r="P33" s="88"/>
      <c r="Q33" s="88"/>
    </row>
    <row r="34" spans="1:17" ht="15" customHeight="1" x14ac:dyDescent="0.25">
      <c r="A34" s="88"/>
      <c r="B34" s="88"/>
      <c r="C34" s="88"/>
      <c r="D34" s="88"/>
      <c r="E34" s="88"/>
      <c r="F34" s="88"/>
      <c r="G34" s="88"/>
      <c r="H34" s="88"/>
      <c r="J34" s="88"/>
      <c r="K34" s="88"/>
      <c r="L34" s="88"/>
      <c r="M34" s="88"/>
      <c r="N34" s="88"/>
      <c r="O34" s="88"/>
      <c r="P34" s="88"/>
      <c r="Q34" s="88"/>
    </row>
    <row r="35" spans="1:17" ht="15" customHeight="1" x14ac:dyDescent="0.25">
      <c r="A35" s="83"/>
      <c r="B35" s="83"/>
      <c r="C35" s="83"/>
      <c r="D35" s="83"/>
      <c r="E35" s="83"/>
      <c r="F35" s="83"/>
      <c r="G35" s="83"/>
      <c r="H35" s="83"/>
      <c r="J35" t="s">
        <v>341</v>
      </c>
    </row>
    <row r="36" spans="1:17" ht="15.75" thickBot="1" x14ac:dyDescent="0.3">
      <c r="A36" s="83"/>
      <c r="C36" t="s">
        <v>332</v>
      </c>
      <c r="H36" s="83"/>
      <c r="J36">
        <f>Corner</f>
        <v>12</v>
      </c>
    </row>
    <row r="37" spans="1:17" ht="16.5" thickTop="1" thickBot="1" x14ac:dyDescent="0.3">
      <c r="A37" s="83"/>
      <c r="B37" s="81" t="s">
        <v>327</v>
      </c>
      <c r="C37" s="91" t="s">
        <v>330</v>
      </c>
      <c r="D37" s="92"/>
      <c r="E37" s="79">
        <v>46.25</v>
      </c>
      <c r="H37" s="83"/>
      <c r="K37" t="s">
        <v>331</v>
      </c>
    </row>
    <row r="38" spans="1:17" ht="16.5" thickTop="1" thickBot="1" x14ac:dyDescent="0.3">
      <c r="A38" s="83"/>
      <c r="B38" s="81" t="s">
        <v>328</v>
      </c>
      <c r="C38" s="90" t="s">
        <v>329</v>
      </c>
      <c r="D38" s="90"/>
      <c r="E38" s="80">
        <v>117</v>
      </c>
      <c r="H38" s="83"/>
      <c r="K38" t="s">
        <v>331</v>
      </c>
    </row>
    <row r="39" spans="1:17" ht="15.75" thickTop="1" x14ac:dyDescent="0.25">
      <c r="A39" s="83"/>
      <c r="H39" s="83"/>
      <c r="K39" t="s">
        <v>331</v>
      </c>
    </row>
    <row r="40" spans="1:17" ht="15.75" thickBot="1" x14ac:dyDescent="0.3">
      <c r="A40" s="83"/>
      <c r="C40" t="s">
        <v>333</v>
      </c>
      <c r="E40" t="s">
        <v>339</v>
      </c>
      <c r="H40" s="83"/>
      <c r="K40" t="s">
        <v>331</v>
      </c>
    </row>
    <row r="41" spans="1:17" ht="16.5" thickTop="1" thickBot="1" x14ac:dyDescent="0.3">
      <c r="A41" s="83"/>
      <c r="B41" s="81" t="s">
        <v>327</v>
      </c>
      <c r="C41" s="91" t="s">
        <v>337</v>
      </c>
      <c r="D41" s="92"/>
      <c r="E41" s="82" t="s">
        <v>340</v>
      </c>
      <c r="F41" t="s">
        <v>343</v>
      </c>
      <c r="H41" s="83"/>
      <c r="K41" t="s">
        <v>331</v>
      </c>
    </row>
    <row r="42" spans="1:17" ht="16.5" thickTop="1" thickBot="1" x14ac:dyDescent="0.3">
      <c r="A42" s="83"/>
      <c r="B42" s="81" t="s">
        <v>328</v>
      </c>
      <c r="C42" s="90" t="s">
        <v>338</v>
      </c>
      <c r="D42" s="90"/>
      <c r="E42" s="82" t="s">
        <v>340</v>
      </c>
      <c r="F42" t="s">
        <v>344</v>
      </c>
      <c r="H42" s="83"/>
      <c r="J42">
        <v>11.75</v>
      </c>
    </row>
    <row r="43" spans="1:17" ht="15.75" thickTop="1" x14ac:dyDescent="0.25">
      <c r="A43" s="83"/>
      <c r="H43" s="83"/>
    </row>
    <row r="44" spans="1:17" ht="15.75" thickBot="1" x14ac:dyDescent="0.3">
      <c r="A44" s="83"/>
      <c r="C44" t="s">
        <v>342</v>
      </c>
      <c r="H44" s="83"/>
    </row>
    <row r="45" spans="1:17" ht="16.5" thickTop="1" thickBot="1" x14ac:dyDescent="0.3">
      <c r="A45" s="83"/>
      <c r="B45" s="81" t="s">
        <v>327</v>
      </c>
      <c r="C45" s="91" t="s">
        <v>330</v>
      </c>
      <c r="D45" s="92"/>
      <c r="E45" s="82" t="s">
        <v>345</v>
      </c>
      <c r="H45" s="83"/>
    </row>
    <row r="46" spans="1:17" ht="16.5" thickTop="1" thickBot="1" x14ac:dyDescent="0.3">
      <c r="B46" s="81" t="s">
        <v>328</v>
      </c>
      <c r="C46" s="90" t="s">
        <v>329</v>
      </c>
      <c r="D46" s="90"/>
      <c r="E46" s="82" t="s">
        <v>346</v>
      </c>
    </row>
    <row r="47" spans="1:17" ht="15.75" thickTop="1" x14ac:dyDescent="0.25"/>
  </sheetData>
  <mergeCells count="15">
    <mergeCell ref="C46:D46"/>
    <mergeCell ref="C37:D37"/>
    <mergeCell ref="C38:D38"/>
    <mergeCell ref="C41:D41"/>
    <mergeCell ref="C42:D42"/>
    <mergeCell ref="C45:D45"/>
    <mergeCell ref="A33:H34"/>
    <mergeCell ref="S1:Z2"/>
    <mergeCell ref="J1:Q2"/>
    <mergeCell ref="J4:R4"/>
    <mergeCell ref="J5:R5"/>
    <mergeCell ref="A17:H18"/>
    <mergeCell ref="J17:Q18"/>
    <mergeCell ref="A1:H2"/>
    <mergeCell ref="J33:Q34"/>
  </mergeCells>
  <phoneticPr fontId="6" type="noConversion"/>
  <dataValidations count="1">
    <dataValidation type="list" allowBlank="1" showInputMessage="1" showErrorMessage="1" sqref="C20:C27" xr:uid="{13106C88-D731-4D9C-A9B0-0C7D3B0AAE0D}">
      <formula1>$C$4:$C$12</formula1>
    </dataValidation>
  </dataValidations>
  <pageMargins left="0.7" right="0.7" top="0.75" bottom="0.75" header="0.3" footer="0.3"/>
  <ignoredErrors>
    <ignoredError sqref="O21"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85D78-D77E-47D8-A38C-C88EA1DA2AE6}">
  <sheetPr codeName="Sheet3"/>
  <dimension ref="A1:F19"/>
  <sheetViews>
    <sheetView topLeftCell="A2" zoomScale="97" workbookViewId="0">
      <selection activeCell="D15" sqref="D15"/>
    </sheetView>
  </sheetViews>
  <sheetFormatPr defaultRowHeight="15" x14ac:dyDescent="0.25"/>
  <cols>
    <col min="2" max="2" width="19.7109375" bestFit="1" customWidth="1"/>
    <col min="3" max="6" width="10.7109375" style="5" customWidth="1"/>
  </cols>
  <sheetData>
    <row r="1" spans="1:6" s="2" customFormat="1" ht="23.25" x14ac:dyDescent="0.35">
      <c r="A1" s="2" t="s">
        <v>214</v>
      </c>
      <c r="C1" s="32"/>
      <c r="D1" s="32"/>
      <c r="E1" s="32"/>
      <c r="F1" s="32"/>
    </row>
    <row r="2" spans="1:6" x14ac:dyDescent="0.25">
      <c r="A2" s="3"/>
    </row>
    <row r="4" spans="1:6" s="41" customFormat="1" ht="45.75" thickBot="1" x14ac:dyDescent="0.3">
      <c r="B4" s="36" t="s">
        <v>203</v>
      </c>
      <c r="C4" s="37" t="s">
        <v>216</v>
      </c>
      <c r="D4" s="37" t="s">
        <v>217</v>
      </c>
      <c r="E4" s="37" t="s">
        <v>219</v>
      </c>
      <c r="F4" s="37" t="s">
        <v>220</v>
      </c>
    </row>
    <row r="5" spans="1:6" ht="15.75" thickTop="1" x14ac:dyDescent="0.25">
      <c r="B5" s="42" t="s">
        <v>77</v>
      </c>
      <c r="C5" s="43">
        <f>15/mm</f>
        <v>0.59055118110236227</v>
      </c>
      <c r="D5" s="51">
        <v>0.46560000000000001</v>
      </c>
      <c r="E5" s="43">
        <f>IF(D5="",C5,D5)</f>
        <v>0.46560000000000001</v>
      </c>
      <c r="F5" s="44">
        <f>MaleOffset*mm</f>
        <v>11.82624</v>
      </c>
    </row>
    <row r="6" spans="1:6" x14ac:dyDescent="0.25">
      <c r="B6" s="45" t="s">
        <v>11</v>
      </c>
      <c r="C6" s="46">
        <v>46.5</v>
      </c>
      <c r="D6" s="52"/>
      <c r="E6" s="46">
        <f t="shared" ref="E6:E18" si="0">IF(D6="",C6,D6)</f>
        <v>46.5</v>
      </c>
      <c r="F6" s="47">
        <f>BaseWidth*mm</f>
        <v>1181.0999999999999</v>
      </c>
    </row>
    <row r="7" spans="1:6" x14ac:dyDescent="0.25">
      <c r="B7" s="45" t="s">
        <v>12</v>
      </c>
      <c r="C7" s="46">
        <v>94.5</v>
      </c>
      <c r="D7" s="52"/>
      <c r="E7" s="46">
        <f t="shared" si="0"/>
        <v>94.5</v>
      </c>
      <c r="F7" s="47">
        <f>BaseHeight*mm</f>
        <v>2400.2999999999997</v>
      </c>
    </row>
    <row r="8" spans="1:6" x14ac:dyDescent="0.25">
      <c r="B8" s="45" t="s">
        <v>139</v>
      </c>
      <c r="C8" s="46">
        <v>93.25</v>
      </c>
      <c r="D8" s="52"/>
      <c r="E8" s="46">
        <f t="shared" si="0"/>
        <v>93.25</v>
      </c>
      <c r="F8" s="47">
        <f>BaseCeilingLength*mm</f>
        <v>2368.5499999999997</v>
      </c>
    </row>
    <row r="9" spans="1:6" x14ac:dyDescent="0.25">
      <c r="B9" s="45" t="s">
        <v>94</v>
      </c>
      <c r="C9" s="46">
        <f>1219.05/mm</f>
        <v>47.994094488188978</v>
      </c>
      <c r="D9" s="52">
        <v>47.75</v>
      </c>
      <c r="E9" s="46">
        <f t="shared" si="0"/>
        <v>47.75</v>
      </c>
      <c r="F9" s="47">
        <f>mm*BaseMaleDX</f>
        <v>1212.8499999999999</v>
      </c>
    </row>
    <row r="10" spans="1:6" x14ac:dyDescent="0.25">
      <c r="B10" s="45" t="s">
        <v>95</v>
      </c>
      <c r="C10" s="46">
        <f>2455.4/mm</f>
        <v>96.669291338582681</v>
      </c>
      <c r="D10" s="52">
        <v>96.14</v>
      </c>
      <c r="E10" s="46">
        <f t="shared" si="0"/>
        <v>96.14</v>
      </c>
      <c r="F10" s="47">
        <f>mm*BaseMaleDY</f>
        <v>2441.9559999999997</v>
      </c>
    </row>
    <row r="11" spans="1:6" x14ac:dyDescent="0.25">
      <c r="B11" s="45" t="s">
        <v>122</v>
      </c>
      <c r="C11" s="46">
        <f>1203/mm</f>
        <v>47.362204724409452</v>
      </c>
      <c r="D11" s="52">
        <v>47.6</v>
      </c>
      <c r="E11" s="46">
        <f t="shared" si="0"/>
        <v>47.6</v>
      </c>
      <c r="F11" s="47">
        <f>BaseDXVPocket*mm</f>
        <v>1209.04</v>
      </c>
    </row>
    <row r="12" spans="1:6" x14ac:dyDescent="0.25">
      <c r="B12" s="45" t="s">
        <v>123</v>
      </c>
      <c r="C12" s="46">
        <f>2443.3/mm</f>
        <v>96.192913385826785</v>
      </c>
      <c r="D12" s="52"/>
      <c r="E12" s="46">
        <f t="shared" si="0"/>
        <v>96.192913385826785</v>
      </c>
      <c r="F12" s="47">
        <f>BaseDYHPocket*mm</f>
        <v>2443.3000000000002</v>
      </c>
    </row>
    <row r="13" spans="1:6" x14ac:dyDescent="0.25">
      <c r="B13" s="45" t="s">
        <v>125</v>
      </c>
      <c r="C13" s="46">
        <f>2421.8/mm</f>
        <v>95.346456692913392</v>
      </c>
      <c r="D13" s="52"/>
      <c r="E13" s="46">
        <f t="shared" si="0"/>
        <v>95.346456692913392</v>
      </c>
      <c r="F13" s="47">
        <f>BaseDYCutOff*mm</f>
        <v>2421.8000000000002</v>
      </c>
    </row>
    <row r="14" spans="1:6" x14ac:dyDescent="0.25">
      <c r="B14" s="45" t="s">
        <v>130</v>
      </c>
      <c r="C14" s="46">
        <f>-25.4/mm+0.125+0.125</f>
        <v>-0.75</v>
      </c>
      <c r="D14" s="52">
        <v>0.64</v>
      </c>
      <c r="E14" s="46">
        <f t="shared" si="0"/>
        <v>0.64</v>
      </c>
      <c r="F14" s="47">
        <f>BaseFemaleX0*mm</f>
        <v>16.256</v>
      </c>
    </row>
    <row r="15" spans="1:6" x14ac:dyDescent="0.25">
      <c r="B15" s="45" t="s">
        <v>141</v>
      </c>
      <c r="C15" s="46">
        <f>2375.05/mm</f>
        <v>93.505905511811036</v>
      </c>
      <c r="D15" s="52"/>
      <c r="E15" s="46">
        <f t="shared" si="0"/>
        <v>93.505905511811036</v>
      </c>
      <c r="F15" s="47">
        <f>BaseCeilingDYCutOff*mm</f>
        <v>2375.0500000000002</v>
      </c>
    </row>
    <row r="16" spans="1:6" x14ac:dyDescent="0.25">
      <c r="B16" s="45" t="s">
        <v>145</v>
      </c>
      <c r="C16" s="46">
        <f>2317.75/mm</f>
        <v>91.25</v>
      </c>
      <c r="D16" s="52"/>
      <c r="E16" s="46">
        <f t="shared" si="0"/>
        <v>91.25</v>
      </c>
      <c r="F16" s="47">
        <f>BaseTopFemaleDX*mm</f>
        <v>2317.75</v>
      </c>
    </row>
    <row r="17" spans="2:6" x14ac:dyDescent="0.25">
      <c r="B17" s="45" t="s">
        <v>19</v>
      </c>
      <c r="C17" s="46">
        <f>-15/mm</f>
        <v>-0.59055118110236227</v>
      </c>
      <c r="D17" s="52">
        <v>0.71560000000000001</v>
      </c>
      <c r="E17" s="46">
        <f t="shared" si="0"/>
        <v>0.71560000000000001</v>
      </c>
      <c r="F17" s="47">
        <f>X0_VPocket_X*mm</f>
        <v>18.17624</v>
      </c>
    </row>
    <row r="18" spans="2:6" ht="15.75" thickBot="1" x14ac:dyDescent="0.3">
      <c r="B18" s="48" t="s">
        <v>20</v>
      </c>
      <c r="C18" s="49">
        <f>1203/mm</f>
        <v>47.362204724409452</v>
      </c>
      <c r="D18" s="53">
        <v>47.487200000000001</v>
      </c>
      <c r="E18" s="49">
        <f t="shared" si="0"/>
        <v>47.487200000000001</v>
      </c>
      <c r="F18" s="50">
        <f>DX_VPocket_X*mm</f>
        <v>1206.17488</v>
      </c>
    </row>
    <row r="19" spans="2:6" ht="15.75" thickTop="1" x14ac:dyDescent="0.25"/>
  </sheetData>
  <sheetProtection algorithmName="SHA-512" hashValue="DpSXGf1hhOJWiu2YiCfXwof+5IbGyUgqsLdmVPw96D1vN6+ma5EWKMwASQX5D2CgKSvokX7TcpY2fOwAh+VVtQ==" saltValue="FHpYPY3DaI6fsVAUqODcnw=="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6B38B-F8E9-4937-93D4-EF6CACEE3BE2}">
  <sheetPr codeName="Sheet2"/>
  <dimension ref="A1:Q21"/>
  <sheetViews>
    <sheetView topLeftCell="A3" workbookViewId="0">
      <selection activeCell="E13" sqref="E13"/>
    </sheetView>
  </sheetViews>
  <sheetFormatPr defaultRowHeight="15" x14ac:dyDescent="0.25"/>
  <cols>
    <col min="2" max="2" width="17.28515625" style="1" bestFit="1" customWidth="1"/>
    <col min="3" max="3" width="15.7109375" customWidth="1"/>
    <col min="4" max="6" width="8.7109375" style="5" customWidth="1"/>
    <col min="7" max="7" width="12.7109375" style="12" customWidth="1"/>
  </cols>
  <sheetData>
    <row r="1" spans="1:16" s="2" customFormat="1" ht="23.25" x14ac:dyDescent="0.35">
      <c r="A1" s="2" t="s">
        <v>206</v>
      </c>
      <c r="D1" s="32"/>
      <c r="E1" s="32"/>
      <c r="F1" s="32"/>
      <c r="G1" s="13"/>
    </row>
    <row r="2" spans="1:16" x14ac:dyDescent="0.25">
      <c r="A2" s="3"/>
    </row>
    <row r="3" spans="1:16" s="36" customFormat="1" ht="45.75" thickBot="1" x14ac:dyDescent="0.3">
      <c r="C3" s="36" t="s">
        <v>202</v>
      </c>
      <c r="D3" s="37" t="s">
        <v>216</v>
      </c>
      <c r="E3" s="37" t="s">
        <v>217</v>
      </c>
      <c r="F3" s="37" t="s">
        <v>218</v>
      </c>
      <c r="G3" s="38" t="s">
        <v>208</v>
      </c>
    </row>
    <row r="4" spans="1:16" ht="16.5" thickTop="1" thickBot="1" x14ac:dyDescent="0.3">
      <c r="B4" s="22"/>
      <c r="C4" s="23" t="s">
        <v>0</v>
      </c>
      <c r="D4" s="33">
        <v>2000</v>
      </c>
      <c r="E4" s="33"/>
      <c r="F4" s="33">
        <f>IF(E4="",D4,E4)</f>
        <v>2000</v>
      </c>
      <c r="G4" s="24"/>
    </row>
    <row r="5" spans="1:16" ht="15.75" thickTop="1" x14ac:dyDescent="0.25">
      <c r="B5" s="14" t="s">
        <v>209</v>
      </c>
      <c r="C5" s="15" t="s">
        <v>1</v>
      </c>
      <c r="D5" s="34">
        <v>18000</v>
      </c>
      <c r="E5" s="34"/>
      <c r="F5" s="34">
        <f t="shared" ref="F5:F19" si="0">IF(E5="",D5,E5)</f>
        <v>18000</v>
      </c>
      <c r="G5" s="16"/>
    </row>
    <row r="6" spans="1:16" x14ac:dyDescent="0.25">
      <c r="B6" s="17"/>
      <c r="C6" t="s">
        <v>2</v>
      </c>
      <c r="D6" s="5">
        <v>12000</v>
      </c>
      <c r="E6" s="39">
        <v>8000</v>
      </c>
      <c r="F6" s="5">
        <f t="shared" si="0"/>
        <v>8000</v>
      </c>
      <c r="G6" s="18" t="s">
        <v>207</v>
      </c>
    </row>
    <row r="7" spans="1:16" ht="15.75" thickBot="1" x14ac:dyDescent="0.3">
      <c r="B7" s="19"/>
      <c r="C7" s="20" t="s">
        <v>179</v>
      </c>
      <c r="D7" s="35">
        <v>3000</v>
      </c>
      <c r="E7" s="40">
        <v>2500</v>
      </c>
      <c r="F7" s="35">
        <f t="shared" si="0"/>
        <v>2500</v>
      </c>
      <c r="G7" s="21" t="s">
        <v>207</v>
      </c>
    </row>
    <row r="8" spans="1:16" ht="15.75" thickTop="1" x14ac:dyDescent="0.25">
      <c r="B8" s="14" t="s">
        <v>210</v>
      </c>
      <c r="C8" s="15" t="s">
        <v>3</v>
      </c>
      <c r="D8" s="34">
        <v>6000</v>
      </c>
      <c r="E8" s="34">
        <v>9000</v>
      </c>
      <c r="F8" s="34">
        <f t="shared" si="0"/>
        <v>9000</v>
      </c>
      <c r="G8" s="16"/>
    </row>
    <row r="9" spans="1:16" x14ac:dyDescent="0.25">
      <c r="B9" s="17"/>
      <c r="C9" t="s">
        <v>4</v>
      </c>
      <c r="D9" s="5">
        <v>2000</v>
      </c>
      <c r="E9" s="39"/>
      <c r="F9" s="5">
        <f t="shared" si="0"/>
        <v>2000</v>
      </c>
      <c r="G9" s="18" t="s">
        <v>207</v>
      </c>
    </row>
    <row r="10" spans="1:16" ht="15.75" thickBot="1" x14ac:dyDescent="0.3">
      <c r="B10" s="19"/>
      <c r="C10" s="20" t="s">
        <v>180</v>
      </c>
      <c r="D10" s="35">
        <v>2500</v>
      </c>
      <c r="E10" s="40"/>
      <c r="F10" s="35">
        <f t="shared" si="0"/>
        <v>2500</v>
      </c>
      <c r="G10" s="21" t="s">
        <v>207</v>
      </c>
      <c r="P10" s="56">
        <f>77.597+3.175+0.125</f>
        <v>80.896999999999991</v>
      </c>
    </row>
    <row r="11" spans="1:16" ht="15.75" thickTop="1" x14ac:dyDescent="0.25">
      <c r="B11" s="14" t="s">
        <v>211</v>
      </c>
      <c r="C11" s="15" t="s">
        <v>5</v>
      </c>
      <c r="D11" s="34">
        <v>6000</v>
      </c>
      <c r="E11" s="34">
        <v>10000</v>
      </c>
      <c r="F11" s="34">
        <f t="shared" si="0"/>
        <v>10000</v>
      </c>
      <c r="G11" s="16"/>
    </row>
    <row r="12" spans="1:16" x14ac:dyDescent="0.25">
      <c r="B12" s="17"/>
      <c r="C12" t="s">
        <v>6</v>
      </c>
      <c r="D12" s="5">
        <v>5000</v>
      </c>
      <c r="E12" s="39">
        <v>4250</v>
      </c>
      <c r="F12" s="5">
        <f t="shared" si="0"/>
        <v>4250</v>
      </c>
      <c r="G12" s="18" t="s">
        <v>207</v>
      </c>
      <c r="J12" t="s">
        <v>198</v>
      </c>
    </row>
    <row r="13" spans="1:16" ht="15.75" thickBot="1" x14ac:dyDescent="0.3">
      <c r="B13" s="19"/>
      <c r="C13" s="20" t="s">
        <v>142</v>
      </c>
      <c r="D13" s="35">
        <v>85.9</v>
      </c>
      <c r="E13" s="56">
        <f>77.597+3.175+0.125-0.25</f>
        <v>80.646999999999991</v>
      </c>
      <c r="F13" s="35">
        <f t="shared" si="0"/>
        <v>80.646999999999991</v>
      </c>
      <c r="G13" s="21" t="s">
        <v>207</v>
      </c>
      <c r="P13" s="40">
        <v>-17.364999999999998</v>
      </c>
    </row>
    <row r="14" spans="1:16" ht="15.75" thickTop="1" x14ac:dyDescent="0.25">
      <c r="B14" s="14" t="s">
        <v>212</v>
      </c>
      <c r="C14" s="15" t="s">
        <v>7</v>
      </c>
      <c r="D14" s="34">
        <v>6000</v>
      </c>
      <c r="E14" s="34"/>
      <c r="F14" s="34">
        <f t="shared" si="0"/>
        <v>6000</v>
      </c>
      <c r="G14" s="16"/>
    </row>
    <row r="15" spans="1:16" x14ac:dyDescent="0.25">
      <c r="B15" s="17"/>
      <c r="C15" t="s">
        <v>8</v>
      </c>
      <c r="D15" s="5">
        <v>10000</v>
      </c>
      <c r="E15" s="39">
        <v>4000</v>
      </c>
      <c r="F15" s="5">
        <f t="shared" si="0"/>
        <v>4000</v>
      </c>
      <c r="G15" s="18" t="s">
        <v>207</v>
      </c>
    </row>
    <row r="16" spans="1:16" ht="15.75" thickBot="1" x14ac:dyDescent="0.3">
      <c r="B16" s="19"/>
      <c r="C16" s="20" t="s">
        <v>143</v>
      </c>
      <c r="D16" s="35">
        <v>15.87</v>
      </c>
      <c r="E16" s="40">
        <f>15.66-0.08+3-3.18-0.125</f>
        <v>15.274999999999999</v>
      </c>
      <c r="F16" s="35">
        <f t="shared" si="0"/>
        <v>15.274999999999999</v>
      </c>
      <c r="G16" s="21" t="s">
        <v>207</v>
      </c>
    </row>
    <row r="17" spans="2:17" ht="15.75" thickTop="1" x14ac:dyDescent="0.25">
      <c r="B17" s="14" t="s">
        <v>213</v>
      </c>
      <c r="C17" s="15" t="s">
        <v>9</v>
      </c>
      <c r="D17" s="34">
        <v>6000</v>
      </c>
      <c r="E17" s="34">
        <v>4500</v>
      </c>
      <c r="F17" s="34">
        <f t="shared" si="0"/>
        <v>4500</v>
      </c>
      <c r="G17" s="16"/>
    </row>
    <row r="18" spans="2:17" x14ac:dyDescent="0.25">
      <c r="B18" s="17"/>
      <c r="C18" t="s">
        <v>10</v>
      </c>
      <c r="D18" s="5">
        <v>8000</v>
      </c>
      <c r="E18" s="39">
        <v>3500</v>
      </c>
      <c r="F18" s="5">
        <f t="shared" si="0"/>
        <v>3500</v>
      </c>
      <c r="G18" s="18" t="s">
        <v>207</v>
      </c>
      <c r="M18" t="s">
        <v>365</v>
      </c>
    </row>
    <row r="19" spans="2:17" ht="15.75" thickBot="1" x14ac:dyDescent="0.3">
      <c r="B19" s="19"/>
      <c r="C19" s="20" t="s">
        <v>144</v>
      </c>
      <c r="D19" s="35">
        <v>-2.5</v>
      </c>
      <c r="E19" s="40">
        <v>-31</v>
      </c>
      <c r="F19" s="35">
        <f t="shared" si="0"/>
        <v>-31</v>
      </c>
      <c r="G19" s="21" t="s">
        <v>207</v>
      </c>
    </row>
    <row r="20" spans="2:17" ht="16.5" thickTop="1" thickBot="1" x14ac:dyDescent="0.3">
      <c r="P20" s="40">
        <f>-13.57-0.08+2.5-1.59-0.125</f>
        <v>-12.865</v>
      </c>
      <c r="Q20" t="s">
        <v>364</v>
      </c>
    </row>
    <row r="21" spans="2:17" ht="15.75" thickTop="1" x14ac:dyDescent="0.25"/>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1A9D7-BE18-47E0-BE72-5F81A5331894}">
  <sheetPr codeName="Sheet4"/>
  <dimension ref="A1:T199"/>
  <sheetViews>
    <sheetView topLeftCell="B63" zoomScale="85" zoomScaleNormal="85" workbookViewId="0">
      <selection activeCell="J99" sqref="J99"/>
    </sheetView>
  </sheetViews>
  <sheetFormatPr defaultColWidth="9.140625" defaultRowHeight="15" x14ac:dyDescent="0.25"/>
  <cols>
    <col min="1" max="1" width="10.7109375" style="7" customWidth="1"/>
    <col min="2" max="2" width="20.7109375" style="7" customWidth="1"/>
    <col min="3" max="3" width="9.140625" style="7"/>
    <col min="4" max="4" width="20.7109375" style="7" customWidth="1"/>
    <col min="5" max="5" width="9.140625" style="7"/>
    <col min="6" max="6" width="20.7109375" style="7" customWidth="1"/>
    <col min="7" max="7" width="9.140625" style="7"/>
    <col min="8" max="8" width="22.140625" style="7" customWidth="1"/>
    <col min="9" max="9" width="9.140625" style="7"/>
    <col min="10" max="10" width="20.7109375" style="7" customWidth="1"/>
    <col min="11" max="11" width="9.140625" style="7"/>
    <col min="12" max="12" width="20.7109375" style="7" customWidth="1"/>
    <col min="13" max="13" width="9.140625" style="7" customWidth="1"/>
    <col min="14" max="14" width="7.7109375" style="7" customWidth="1"/>
    <col min="15" max="15" width="20.85546875" style="7" customWidth="1"/>
    <col min="16" max="16" width="9.140625" style="10"/>
    <col min="17" max="17" width="9.140625" style="7"/>
    <col min="18" max="18" width="38" style="7" customWidth="1"/>
    <col min="19" max="19" width="2.7109375" style="93" customWidth="1"/>
    <col min="20" max="20" width="28.42578125" style="7" customWidth="1"/>
    <col min="21" max="16384" width="9.140625" style="7"/>
  </cols>
  <sheetData>
    <row r="1" spans="1:20" s="6" customFormat="1" ht="23.25" x14ac:dyDescent="0.35">
      <c r="A1" s="6" t="s">
        <v>199</v>
      </c>
      <c r="F1" s="7"/>
      <c r="H1" s="7"/>
      <c r="J1" s="7"/>
      <c r="L1" s="7"/>
      <c r="N1" s="7"/>
      <c r="P1" s="63" t="s">
        <v>198</v>
      </c>
      <c r="S1" s="93" t="s">
        <v>198</v>
      </c>
    </row>
    <row r="2" spans="1:20" s="8" customFormat="1" x14ac:dyDescent="0.25">
      <c r="A2" s="11"/>
      <c r="F2" s="7"/>
      <c r="H2" s="7"/>
      <c r="J2" s="7"/>
      <c r="L2" s="7"/>
      <c r="N2" s="7"/>
      <c r="P2" s="64"/>
      <c r="S2" s="93"/>
    </row>
    <row r="3" spans="1:20" s="8" customFormat="1" ht="15.75" thickBot="1" x14ac:dyDescent="0.3">
      <c r="B3" s="8" t="s">
        <v>128</v>
      </c>
      <c r="C3" s="8" t="s">
        <v>198</v>
      </c>
      <c r="D3" s="8" t="s">
        <v>129</v>
      </c>
      <c r="E3" s="8" t="s">
        <v>198</v>
      </c>
      <c r="F3" s="8" t="s">
        <v>155</v>
      </c>
      <c r="G3" s="8" t="s">
        <v>198</v>
      </c>
      <c r="H3" s="8" t="s">
        <v>309</v>
      </c>
      <c r="I3" s="8" t="s">
        <v>198</v>
      </c>
      <c r="J3" s="8" t="s">
        <v>177</v>
      </c>
      <c r="K3" s="8" t="s">
        <v>198</v>
      </c>
      <c r="L3" s="8" t="s">
        <v>178</v>
      </c>
      <c r="M3" s="8" t="s">
        <v>198</v>
      </c>
      <c r="O3" s="8" t="s">
        <v>278</v>
      </c>
      <c r="P3" s="64"/>
      <c r="R3" s="8" t="s">
        <v>350</v>
      </c>
      <c r="S3" s="93"/>
      <c r="T3" s="8" t="s">
        <v>351</v>
      </c>
    </row>
    <row r="4" spans="1:20" s="8" customFormat="1" ht="16.5" thickTop="1" thickBot="1" x14ac:dyDescent="0.3">
      <c r="B4" s="9" t="str">
        <f ca="1">_xlfn.TEXTJOIN(CHAR(10),FALSE,PGM_Freezer)</f>
        <v xml:space="preserve">(##### PGM Freezer)
(Standard Freezer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G00 X-50.0
G01 Z-31.00 F2000
G01 Y-11.8
(Far_MalePre_X)
G01 X1350.0 F3500
G01 Y-50.0
(Far_Male_X)
G01 X333.38
G01 Y3100.0
G01 X1350.0
G01 Y3089.66
G01 X-50.0
G00 Z25.0
G00 Y3100.0
G00 X1350.0
G00 Z25.0
M05
G91 G28 Z0
M6 T5
G00 G90 G54 M3 S9000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(Y0_HPocket_X0_Center)
G00 X257.18 Y-12.0
(&gt;&gt;&gt;SUB Y0HPocket)
G91
G01 X-42.0 F2500
Y48.775
X84.0
Y-48.775
X-84 Z-50.8
Y48.775
X84.0
Y-48.775
X-42.0
G90
G00Z50.0
G00Y-50.0
(&lt;&lt;&lt;SUB Y0HPocket)
(Y0_HPocket_XM_Center)
(Y0_HPocket_DX_Center)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Y3129.10
(DY_HPocket_DX_Center)
(DY_HPocket_XM_Center)
(DY_HPocket_X0_Center)
G00 X257.18Y3103.70
(&gt;&gt;&gt;SUB DYHPocket)
G91
G01 X-42.0 F2500
Y-61.6
X84.0
Y+61.6
X-84 Z-50.8
Y-61.6
X84.0
Y+61.6
X-42.0
G90
G00Z50.0
G00 Y3103.70
(&lt;&lt;&lt;SUB DYHPocket)
G00 Z50.0
G00 X1244.05 Y3100.0
M05
G40 G80 G91 G28 Z0 M5
M30
</v>
      </c>
      <c r="C4" s="8" t="s">
        <v>198</v>
      </c>
      <c r="D4" s="9" t="str">
        <f ca="1">_xlfn.TEXTJOIN(CHAR(10),FALSE,PGM_Refrigerator)</f>
        <v xml:space="preserve">(##### PGM Refrigerator)
(Standard Refrigerator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G00 X-50.0
G01 Z-31.00 F2000
G01 Y-11.8
(Far_MalePre_X)
G01 X1350.0 F3500
G01 Y-50.0
(Far_Male_X)
G01 X333.38
G01 Y3100.0
G00 Z25.0
G00 Y3100.0
G00 X1350.0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(Y0_HPocket_X0_Center)
G00 X257.18 Y-12.0
(&gt;&gt;&gt;SUB Y0HPocket)
G91
G01 X-42.0 F2500
Y48.775
X84.0
Y-48.775
X-84 Z-50.8
Y48.775
X84.0
Y-48.775
X-42.0
G90
G00Z50.0
G00Y-50.0
(&lt;&lt;&lt;SUB Y0HPocket)
(Y0_HPocket_XM_Center)
(Y0_HPocket_DX_Center)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Y3091.00
(High_Y_CutOff)
G00 X 1244.05 Y3069.50
G01 X-38.1 F8000
G01 Z0.0
G01 X1244.05
G00 Z50.0
G00 X1244.05 Y3100.0
G00 Z50.0
G00 X1244.05 Y3100.0
M05
G40 G80 G91 G28 Z0 M5
M30
M05
G40 G80 G91 G28 Z0 M5
M30
</v>
      </c>
      <c r="E4" s="8" t="s">
        <v>198</v>
      </c>
      <c r="F4" s="9" t="str">
        <f ca="1">_xlfn.TEXTJOIN(CHAR(10),FALSE,PGM_Ceiling)</f>
        <v xml:space="preserve">(##### PGM Ceiling)
(Standard Ceiling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(Far_Male_X)
G01 X333.38 Z-31.00 F2000
G01 Y3100.0 F3500
G00Z25.0
M05
G91 G28 Z0
M6 T5
G00 G90 G54 S6000 M3
G43H5
G00 Y3100.0 Z50.0
G00 X-25.0
(X0_Vpocket_Y7_Center)
(X0_Vpocket_Y6_Center)
G00 X-15.0 Y2793.13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Y253.13
(&gt;&gt;&gt;SUB X0VPocket)
G91
G01 Y-42.0  Z-50.8 F2500
X52.46
Y84.0
X-52.46
G90
G00 Z50.0
G00 X-25.0
(&lt;&lt;&lt;SUB X0VPocket)
(X0_Vpocket_Y1_Center)
G00 Y-25.0
G00 X327.98
(DX_Vpocket_Y1_Center)
(DX_Vpocket_Y2_Center)
G00 Y253.13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Y2793.13
(&gt;&gt;&gt;SUB DXVPocket)
G91
G01 Y42.0 Z-50.8 F2500
X-42
Y-86.0
X42
Y86 
G90
G00Z50.0
(&lt;&lt;&lt;SUB DXVPocket)
(DX_Vpocket_Y7_Center)
G00 Y3091.00
(High_Y_CutOff)
G00 X 1244.05 Y3054.50
G01 X-38.1 F8000
G01 Z0.0
G01 X1244.05
G00 Z50.0
G00 X1244.05 Y3100.0
M05
G91 G28 Z0
M6 T6
G00 G90 G54 S10000 M3
G43H6
G00 Y3100.0 Z80.647
(Far_MalePre_X)
G00 X1350.0
(High_TopFemale)
G00 Y2997.20
G01 X-50.0 F4250
G00 Y50.8
(Far_MalePre_X)
G01 X1350.0 F4250
G00 Z50.0
G00 Y3100.0
M05
G91 G28 Z0
M6 T1
G00 G90 G54 S18000 M3
G43H1
G00 Y3100.0 Z110.0
G00Z60.5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X254.00 Y2994.03
(&gt;&gt;&gt;SUB TopPocket)
G00 Z66.93
G91
G01 Y44.0 F2500
X41.0
Y-85.0
X-85.0
Y85.0
X45.0
Y-10.0
X34.0
Y-68.0
X-68.0
Y68.0
X34.0
Y-10.0
X24.0
Y-48.0
X-48.0
Y48.0
X24.0
Y-10.0
X14.0
Y-28.0
X-28.0
Y28.0
X14.0
Y-10.0
X4.0
Y-8.0
X-8.0
Y8.0
X4.0
G90
G00 Z110.0
(&lt;&lt;&lt;END SUB TopPocket)
(Y0_TopPocket_X0_Center)
G00 X254.00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X53.98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G4" s="8" t="s">
        <v>198</v>
      </c>
      <c r="H4" s="9" t="str">
        <f ca="1">_xlfn.TEXTJOIN(CHAR(10),FALSE,PGM_DOOR_FLOOR)</f>
        <v>(##### PGM DOOR FLOOR)
(Standard DOOR FLOOR Panel 11.75" x 120" Finished)
(Created 01/13/26)
G40 G80 G91 G28 Z0
M6 T7
S6000 M3
G54 G90
G43H7
G00 Y3100.0 Z50.0
G00 X-11.74
G01 Z15.28 F2000
G01 Y-50.0 F4000
X-38.10
G00 Z50.0
G00 Y3100.0
M05
G91 G28 Z0
M6 T8
G00 G90 G54 S4500 M3
G43H8
G00 Z25.0
(Far_MalePre_X)
G00 Y3100.0 Z25.0
G00 X1350.0
G00 Y-50.0
(Far_Male_X)
G01 X333.38 Z-31.00 F2000
G01 Y3100.0 F3500
G00Z25.0
M05
G91 G28 Z0
M6 T5
G00 G90 G54 S6000 M3
G43H5
G00 Y3100.0 Z50.0
G00 X-25.0
(X0_Vpocket_Y7_Center)
(X0_Vpocket_Y6_Center)
G00 X-15.0 Y2793.13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Y253.13
(&gt;&gt;&gt;SUB X0VPocket)
G91
G01 Y-42.0  Z-50.8 F2500
X52.46
Y84.0
X-52.46
G90
G00 Z50.0
G00 X-25.0
(&lt;&lt;&lt;SUB X0VPocket)
(X0_Vpocket_Y1_Center)
G00 Y-25.0
G00 X327.98
(DX_Vpocket_Y1_Center)
(DX_Vpocket_Y2_Center)
G00 Y253.13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Y2793.13
(&gt;&gt;&gt;SUB DXVPocket)
G91
G01 Y42.0 Z-50.8 F2500
X-42
Y-86.0
X42
Y86 
G90
G00Z50.0
(&lt;&lt;&lt;SUB DXVPocket)
(DX_Vpocket_Y7_Center)
G00 Y3091.00
(High_Y_CutOff)
G00 X 1244.05 Y3054.50
G01 X-38.1 F8000
G01 Z0.0
G01 X1244.05
G00 Z50.0
G00 X1244.05 Y3100.0
M05
G91 G28 Z0
M6 T6
G00 G90 G54 S10000 M3
G43H6
G00 Y3100.0 Z80.647
(Far_MalePre_X)
G00 X1350.0
(High_TopFemale)
G00 Y2997.20
G01 X-50.0 F4250
G00 Y50.8
(Far_MalePre_X)
G01 X1350.0 F4250
G00 Z50.0
G00 Y3100.0
M05
G91 G28 Z0
M6 T1
G00 G90 G54 S18000 M3
G43H1
G00 Y3100.0 Z110.0
G00Z60.5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X254.00 Y2994.03
(&gt;&gt;&gt;SUB TopPocket)
G00 Z66.93
G91
G01 Y44.0 F2500
X41.0
Y-85.0
X-85.0
Y85.0
X45.0
Y-10.0
X34.0
Y-68.0
X-68.0
Y68.0
X34.0
Y-10.0
X24.0
Y-48.0
X-48.0
Y48.0
X24.0
Y-10.0
X14.0
Y-28.0
X-28.0
Y28.0
X14.0
Y-10.0
X4.0
Y-8.0
X-8.0
Y8.0
X4.0
G90
G00 Z110.0
(&lt;&lt;&lt;END SUB TopPocket)
(Y0_TopPocket_X0_Center)
G00 X152.40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X1035.05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v>
      </c>
      <c r="I4" s="8" t="s">
        <v>198</v>
      </c>
      <c r="J4" s="9" t="str">
        <f ca="1">_xlfn.TEXTJOIN(CHAR(10),FALSE,PGM_Female_Ceiling_End)</f>
        <v>(##### PGM Female Ceiling End)
(Standard Female Ceiling End Panel 11.75" x 120" Finished)
(Created 01/13/26)
G40 G80 G91 G28 Z0
M6 T7
S6000 M3
G54 G90
G43H7
G00 Y3100.0 Z50.0
G00 X-11.74
G01 Z15.28 F2000
G01 Y-50.0 F4000
X-38.10
G00 Z50.0
G00 Y3100.0
M05
G91 G28 Z0
M6 T6
G00 G90 G54 S10000 M3
G43H6
G0Y 3100.0 Z110.0
G00 X254.00 Y2997.20
G01 Z80.65 F2000
G01 X-38.1 F4250
G01 Z110.0
G01 X254.00
G01 Z80.65 F2000
G01 Y50.8 F4250
G01 Z110.0
G01 X-38.1
G01 Z80.65 F2000
G01 X254.00 F4250
G00 Z110.0
G00 Y3100.0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Y3100.0
M05
G91 G28 Z0
M6 T1
G00 G90 G54 S18000 M3
G43H1
G00 Y3100.0 Z110.0
G00Z110.0
G00 X53.98 Y3050.00
(DY_TopPocket_X1_Center)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X44.45 Y2994.03
(&gt;&gt;&gt;SUB TopPocket)
G00 Z66.93
G91
G01 Y44.0 F2500
X41.0
Y-85.0
X-85.0
Y85.0
X45.0
Y-10.0
X34.0
Y-68.0
X-68.0
Y68.0
X34.0
Y-10.0
X24.0
Y-48.0
X-48.0
Y48.0
X24.0
Y-10.0
X14.0
Y-28.0
X-28.0
Y28.0
X14.0
Y-10.0
X4.0
Y-8.0
X-8.0
Y8.0
X4.0
G90
G00 Z110.0
(&lt;&lt;&lt;END SUB TopPocket)
(TopPocket_Y8_Center)
G00 X255.28 Y2844.80
(&gt;&gt;&gt;SUB TopPocket)
G00 Z66.93
G91
G01 Y44.0 F2500
X41.0
Y-85.0
X-85.0
Y85.0
X45.0
Y-10.0
X34.0
Y-68.0
X-68.0
Y68.0
X34.0
Y-10.0
X24.0
Y-48.0
X-48.0
Y48.0
X24.0
Y-10.0
X14.0
Y-28.0
X-28.0
Y28.0
X14.0
Y-10.0
X4.0
Y-8.0
X-8.0
Y8.0
X4.0
G90
G00 Z110.0
(&lt;&lt;&lt;END SUB TopPocket)
(TopPocket_Y7_Center)
G00 X255.28 Y1930.40
(&gt;&gt;&gt;SUB TopPocket)
G00 Z66.93
G91
G01 Y44.0 F2500
X41.0
Y-85.0
X-85.0
Y85.0
X45.0
Y-10.0
X34.0
Y-68.0
X-68.0
Y68.0
X34.0
Y-10.0
X24.0
Y-48.0
X-48.0
Y48.0
X24.0
Y-10.0
X14.0
Y-28.0
X-28.0
Y28.0
X14.0
Y-10.0
X4.0
Y-8.0
X-8.0
Y8.0
X4.0
G90
G00 Z110.0
(&lt;&lt;&lt;END SUB TopPocket)
(TopPocket_Y6_Center)
G00 X255.28 Y1625.60
(&gt;&gt;&gt;SUB TopPocket)
G00 Z66.93
G91
G01 Y44.0 F2500
X41.0
Y-85.0
X-85.0
Y85.0
X45.0
Y-10.0
X34.0
Y-68.0
X-68.0
Y68.0
X34.0
Y-10.0
X24.0
Y-48.0
X-48.0
Y48.0
X24.0
Y-10.0
X14.0
Y-28.0
X-28.0
Y28.0
X14.0
Y-10.0
X4.0
Y-8.0
X-8.0
Y8.0
X4.0
G90
G00 Z110.0
(&lt;&lt;&lt;END SUB TopPocket)
(TopPocket_Y5_Center)
G00 X255.28 Y1320.80
(&gt;&gt;&gt;SUB TopPocket)
G00 Z66.93
G91
G01 Y44.0 F2500
X41.0
Y-85.0
X-85.0
Y85.0
X45.0
Y-10.0
X34.0
Y-68.0
X-68.0
Y68.0
X34.0
Y-10.0
X24.0
Y-48.0
X-48.0
Y48.0
X24.0
Y-10.0
X14.0
Y-28.0
X-28.0
Y28.0
X14.0
Y-10.0
X4.0
Y-8.0
X-8.0
Y8.0
X4.0
G90
G00 Z110.0
(&lt;&lt;&lt;END SUB TopPocket)
(TopPocket_Y4_Center)
G00 X255.28 Y1016.00
(&gt;&gt;&gt;SUB TopPocket)
G00 Z66.93
G91
G01 Y44.0 F2500
X41.0
Y-85.0
X-85.0
Y85.0
X45.0
Y-10.0
X34.0
Y-68.0
X-68.0
Y68.0
X34.0
Y-10.0
X24.0
Y-48.0
X-48.0
Y48.0
X24.0
Y-10.0
X14.0
Y-28.0
X-28.0
Y28.0
X14.0
Y-10.0
X4.0
Y-8.0
X-8.0
Y8.0
X4.0
G90
G00 Z110.0
(&lt;&lt;&lt;END SUB TopPocket)
(TopPocket_Y3_Center)
G00 X255.28 Y711.20
(&gt;&gt;&gt;SUB TopPocket)
G00 Z66.93
G91
G01 Y44.0 F2500
X41.0
Y-85.0
X-85.0
Y85.0
X45.0
Y-10.0
X34.0
Y-68.0
X-68.0
Y68.0
X34.0
Y-10.0
X24.0
Y-48.0
X-48.0
Y48.0
X24.0
Y-10.0
X14.0
Y-28.0
X-28.0
Y28.0
X14.0
Y-10.0
X4.0
Y-8.0
X-8.0
Y8.0
X4.0
G90
G00 Z110.0
(&lt;&lt;&lt;END SUB TopPocket)
(TopPocket_Y2_Center)
G00 X255.28 Y406.40
(&gt;&gt;&gt;SUB TopPocket)
G00 Z66.93
G91
G01 Y44.0 F2500
X41.0
Y-85.0
X-85.0
Y85.0
X45.0
Y-10.0
X34.0
Y-68.0
X-68.0
Y68.0
X34.0
Y-10.0
X24.0
Y-48.0
X-48.0
Y48.0
X24.0
Y-10.0
X14.0
Y-28.0
X-28.0
Y28.0
X14.0
Y-10.0
X4.0
Y-8.0
X-8.0
Y8.0
X4.0
G90
G00 Z110.0
(&lt;&lt;&lt;END SUB TopPocket)
(TopPocket_Y1_Center)
G00 X255.28 Y203.20
(&gt;&gt;&gt;SUB TopPocket)
G00 Z66.93
G91
G01 Y44.0 F2500
X41.0
Y-85.0
X-85.0
Y85.0
X45.0
Y-10.0
X34.0
Y-68.0
X-68.0
Y68.0
X34.0
Y-10.0
X24.0
Y-48.0
X-48.0
Y48.0
X24.0
Y-10.0
X14.0
Y-28.0
X-28.0
Y28.0
X14.0
Y-10.0
X4.0
Y-8.0
X-8.0
Y8.0
X4.0
G90
G00 Z110.0
(&lt;&lt;&lt;END SUB TopPocket)
(Y0_TopPocket_X0_Center)
G00 X44.45 Y53.98
(&gt;&gt;&gt;SUB TopPocket)
G00 Z66.93
G91
G01 Y44.0 F2500
X41.0
Y-85.0
X-85.0
Y85.0
X45.0
Y-10.0
X34.0
Y-68.0
X-68.0
Y68.0
X34.0
Y-10.0
X24.0
Y-48.0
X-48.0
Y48.0
X24.0
Y-10.0
X14.0
Y-28.0
X-28.0
Y28.0
X14.0
Y-10.0
X4.0
Y-8.0
X-8.0
Y8.0
X4.0
G90
G00 Z110.0
(&lt;&lt;&lt;END SUB TopPocket)
(Y1_TopPocket_X1_Center)
(Y2_TopPocket_X2_Center)
G00 X53.98 Y53.98
(&gt;&gt;&gt;SUB TopPocket)
G00 Z66.93
G91
G01 Y44.0 F2500
X41.0
Y-85.0
X-85.0
Y85.0
X45.0
Y-10.0
X34.0
Y-68.0
X-68.0
Y68.0
X34.0
Y-10.0
X24.0
Y-48.0
X-48.0
Y48.0
X24.0
Y-10.0
X14.0
Y-28.0
X-28.0
Y28.0
X14.0
Y-10.0
X4.0
Y-8.0
X-8.0
Y8.0
X4.0
G90
G00 Z110.0
(&lt;&lt;&lt;END SUB TopPocket)
G00 Z110.0
G00 Y3100
(End Cut&gt;&gt;&gt;)
M05
G91 G28 Z0
M6 T5
G00 G90 G54 S6000 M3
G43H5
G0 Z50.8
G0 Y3100.0
G0 X304.80
G01 Y3054.35  F8000
G01 X-38.1
G01 Z0.0 F2000
G01 X304.80 F8000
G91
G01 Y50.0
G90
G00 Z50.8
G00 X300.0 Y3100.0
(&lt;&lt;&lt;End Cut)
M05
G40 G80 G91 G28 Z0 M5
M30</v>
      </c>
      <c r="K4" s="8" t="s">
        <v>198</v>
      </c>
      <c r="L4" s="9" t="str">
        <f ca="1">_xlfn.TEXTJOIN(CHAR(10),FALSE,PGM_Male_Ceiling_End)</f>
        <v xml:space="preserve">(##### PGM Male Ceiling End)
(Standard Male Ceiling End Panel 11.75" x 120" Finished)
(Created 01/13/26)
G40 G80 G91 G28 Z0
M6 T8
S4500 M3
G54 G90
G43H8
G00 Y3100.0 Z25.0
(Far_MalePre_X)
G00 X1350.0
G00 Y-50.0
(Far_Male_X)
G01 X1212.85 Z-31.00 F2000
G01 Y3100.0 F3500
G00Z25.0
M05
G91 G28 Z0
M6 T6
G00 G90 G54 S10000 M3
G43H6
G0Y 3100.0 Z110.0
G00 X1350.0 Y2997.20
G01 Z80.65 F2000
G01 X939.80 F4250
G01 Y50.8
G01 X1350.0
G00 Z110.0
G00 Y3100.0
M05
G91 G28 Z0
M6 T5
G00 G90 G54 S6000 M3
G43H5
G00 Y3100.0 Z50.0
G00 X1209.04
(DX_Vpocket_Y7_Center)
(DX_Vpocket_Y6_Center)
G00 X1215.39 Y2805.83
(&gt;&gt;&gt;SUB DXVPocket)
G91
G01 Y42.0 Z-50.8 F2500
X-42
Y-86.0
X42
Y86 
G90
G00Z50.0
(&lt;&lt;&lt;SUB DXVPocket)
(DX_Vpocket_Y5_Center)
(DX_Vpocket_Y4_Center)
G00 X1215.39 Y1535.83
(&gt;&gt;&gt;SUB DXVPocket)
G91
G01 Y42.0 Z-50.8 F2500
X-42
Y-86.0
X42
Y86 
G90
G00Z50.0
(&lt;&lt;&lt;SUB DXVPocket)
(DX_Vpocket_Y3_Center)
(DX_Vpocket_Y2_Center)
G00 X1215.39 Y264.56
(&gt;&gt;&gt;SUB DXVPocket)
G91
G01 Y42.0 Z-50.8 F2500
X-42
Y-86.0
X42
Y86 
G90
G00Z50.0
(&lt;&lt;&lt;SUB DXVPocket)
(DX_Vpocket_Y1_Center)
G00 X1209.04
G00 Y3100.0
M05
G91 G28 Z0
M6 T1
G00 G90 G54 S18000 M3
G43H1
G00 Y3100.0 Z110.0
G00 X44.45 Y3050.00
G00Z110.0
(DY_TopPocket_X1_Center)
G00 X1136.65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X1136.65 Y2994.03
(&gt;&gt;&gt;SUB TopPocket)
G00 Z66.93
G91
G01 Y44.0 F2500
X41.0
Y-85.0
X-85.0
Y85.0
X45.0
Y-10.0
X34.0
Y-68.0
X-68.0
Y68.0
X34.0
Y-10.0
X24.0
Y-48.0
X-48.0
Y48.0
X24.0
Y-10.0
X14.0
Y-28.0
X-28.0
Y28.0
X14.0
Y-10.0
X4.0
Y-8.0
X-8.0
Y8.0
X4.0
G90
G00 Z110.0
(&lt;&lt;&lt;END SUB TopPocket)
(TopPocket_Y8_Center)
G00 X935.66 Y2844.80
(&gt;&gt;&gt;SUB TopPocket)
G00 Z66.93
G91
G01 Y44.0 F2500
X41.0
Y-85.0
X-85.0
Y85.0
X45.0
Y-10.0
X34.0
Y-68.0
X-68.0
Y68.0
X34.0
Y-10.0
X24.0
Y-48.0
X-48.0
Y48.0
X24.0
Y-10.0
X14.0
Y-28.0
X-28.0
Y28.0
X14.0
Y-10.0
X4.0
Y-8.0
X-8.0
Y8.0
X4.0
G90
G00 Z110.0
(&lt;&lt;&lt;END SUB TopPocket)
(TopPocket_Y7_Center)
G00 X935.66 Y1930.40
(&gt;&gt;&gt;SUB TopPocket)
G00 Z66.93
G91
G01 Y44.0 F2500
X41.0
Y-85.0
X-85.0
Y85.0
X45.0
Y-10.0
X34.0
Y-68.0
X-68.0
Y68.0
X34.0
Y-10.0
X24.0
Y-48.0
X-48.0
Y48.0
X24.0
Y-10.0
X14.0
Y-28.0
X-28.0
Y28.0
X14.0
Y-10.0
X4.0
Y-8.0
X-8.0
Y8.0
X4.0
G90
G00 Z110.0
(&lt;&lt;&lt;END SUB TopPocket)
(TopPocket_Y6_Center)
G00 X935.66 Y1625.60
(&gt;&gt;&gt;SUB TopPocket)
G00 Z66.93
G91
G01 Y44.0 F2500
X41.0
Y-85.0
X-85.0
Y85.0
X45.0
Y-10.0
X34.0
Y-68.0
X-68.0
Y68.0
X34.0
Y-10.0
X24.0
Y-48.0
X-48.0
Y48.0
X24.0
Y-10.0
X14.0
Y-28.0
X-28.0
Y28.0
X14.0
Y-10.0
X4.0
Y-8.0
X-8.0
Y8.0
X4.0
G90
G00 Z110.0
(&lt;&lt;&lt;END SUB TopPocket)
(TopPocket_Y5_Center)
G00 X935.66 Y1320.80
(&gt;&gt;&gt;SUB TopPocket)
G00 Z66.93
G91
G01 Y44.0 F2500
X41.0
Y-85.0
X-85.0
Y85.0
X45.0
Y-10.0
X34.0
Y-68.0
X-68.0
Y68.0
X34.0
Y-10.0
X24.0
Y-48.0
X-48.0
Y48.0
X24.0
Y-10.0
X14.0
Y-28.0
X-28.0
Y28.0
X14.0
Y-10.0
X4.0
Y-8.0
X-8.0
Y8.0
X4.0
G90
G00 Z110.0
(&lt;&lt;&lt;END SUB TopPocket)
(TopPocket_Y4_Center)
G00 X935.66 Y1016.00
(&gt;&gt;&gt;SUB TopPocket)
G00 Z66.93
G91
G01 Y44.0 F2500
X41.0
Y-85.0
X-85.0
Y85.0
X45.0
Y-10.0
X34.0
Y-68.0
X-68.0
Y68.0
X34.0
Y-10.0
X24.0
Y-48.0
X-48.0
Y48.0
X24.0
Y-10.0
X14.0
Y-28.0
X-28.0
Y28.0
X14.0
Y-10.0
X4.0
Y-8.0
X-8.0
Y8.0
X4.0
G90
G00 Z110.0
(&lt;&lt;&lt;END SUB TopPocket)
(TopPocket_Y3_Center)
G00 X935.66 Y711.20
(&gt;&gt;&gt;SUB TopPocket)
G00 Z66.93
G91
G01 Y44.0 F2500
X41.0
Y-85.0
X-85.0
Y85.0
X45.0
Y-10.0
X34.0
Y-68.0
X-68.0
Y68.0
X34.0
Y-10.0
X24.0
Y-48.0
X-48.0
Y48.0
X24.0
Y-10.0
X14.0
Y-28.0
X-28.0
Y28.0
X14.0
Y-10.0
X4.0
Y-8.0
X-8.0
Y8.0
X4.0
G90
G00 Z110.0
(&lt;&lt;&lt;END SUB TopPocket)
(TopPocket_Y2_Center)
G00 X935.66 Y406.40
(&gt;&gt;&gt;SUB TopPocket)
G00 Z66.93
G91
G01 Y44.0 F2500
X41.0
Y-85.0
X-85.0
Y85.0
X45.0
Y-10.0
X34.0
Y-68.0
X-68.0
Y68.0
X34.0
Y-10.0
X24.0
Y-48.0
X-48.0
Y48.0
X24.0
Y-10.0
X14.0
Y-28.0
X-28.0
Y28.0
X14.0
Y-10.0
X4.0
Y-8.0
X-8.0
Y8.0
X4.0
G90
G00 Z110.0
(&lt;&lt;&lt;END SUB TopPocket)
(TopPocket_Y1_Center)
G00 X935.66 Y203.20
(&gt;&gt;&gt;SUB TopPocket)
G00 Z66.93
G91
G01 Y44.0 F2500
X41.0
Y-85.0
X-85.0
Y85.0
X45.0
Y-10.0
X34.0
Y-68.0
X-68.0
Y68.0
X34.0
Y-10.0
X24.0
Y-48.0
X-48.0
Y48.0
X24.0
Y-10.0
X14.0
Y-28.0
X-28.0
Y28.0
X14.0
Y-10.0
X4.0
Y-8.0
X-8.0
Y8.0
X4.0
G90
G00 Z110.0
(&lt;&lt;&lt;END SUB TopPocket)
(Y0_TopPocket_X0_Center)
G00 X1136.65 Y53.98
(&gt;&gt;&gt;SUB TopPocket)
G00 Z66.93
G91
G01 Y44.0 F2500
X41.0
Y-85.0
X-85.0
Y85.0
X45.0
Y-10.0
X34.0
Y-68.0
X-68.0
Y68.0
X34.0
Y-10.0
X24.0
Y-48.0
X-48.0
Y48.0
X24.0
Y-10.0
X14.0
Y-28.0
X-28.0
Y28.0
X14.0
Y-10.0
X4.0
Y-8.0
X-8.0
Y8.0
X4.0
G90
G00 Z110.0
(&lt;&lt;&lt;END SUB TopPocket)
(Y1_TopPocket_X1_Center)
(Y2_TopPocket_X2_Center)
G00 X1136.65 Y53.98
(&gt;&gt;&gt;SUB TopPocket)
G00 Z66.93
G91
G01 Y44.0 F2500
X41.0
Y-85.0
X-85.0
Y85.0
X45.0
Y-10.0
X34.0
Y-68.0
X-68.0
Y68.0
X34.0
Y-10.0
X24.0
Y-48.0
X-48.0
Y48.0
X24.0
Y-10.0
X14.0
Y-28.0
X-28.0
Y28.0
X14.0
Y-10.0
X4.0
Y-8.0
X-8.0
Y8.0
X4.0
G90
G00 Z110.0
(&lt;&lt;&lt;END SUB TopPocket)
G00 Z110.0
G00 Y3100
(End Cut&gt;&gt;&gt;)
M05
G91 G28 Z0
M6 T5
G00 G90 G54 S6000 M3
G43H5
G0 Z50.8
G0 Y3100.0
G0 X1350.0
G00 Y3054.35
G01 X876.30 F8000
G01 Z0.0 F2000
G01 X1350.0 F8000
G00 Z50.8
G00 X300.0 Y3100.0
(&lt;&lt;&lt;End Cut)
M05
G40 G80 G91 G28 Z0 M5
M30
</v>
      </c>
      <c r="M4" s="8" t="s">
        <v>198</v>
      </c>
      <c r="O4" s="58" t="str">
        <f ca="1">_xlfn.TEXTJOIN(CHAR(10),FALSE,PGM_SPECIAL_T)</f>
        <v xml:space="preserve">(##### PGM Special T)
(Standard Special T11.75" x 120" Finished)
(Created 01/13/26)
G40 G80 G91 G28 Z0
M6 T7
S6000 M3
G54 G90
G43H7
G00 Y3100.0 Z50.0
G00 X-11.74
G01 Z15.28 F2000
G01 Y-50.0 F4000
X-38.10
G00 Z50.0
G00 Y3100.0
M05
G91 G28 Z0
M6 T8
G00 G90 G54 S4500 M3
G43H8
G00 Z25.0
(Far_MalePre_X)
G00 Y3100.0 Z25.0
G00 X1350.0
G00 Y-50.0
(Far_Male_X)
G01 X333.38 Z-31.00 F2000
G01 Y3100.0 F3500
(Top_Connecting_Male)
G01 X1350.0
G01 Y3089.66
G01 X-50.0
G00 Z25.0
G00 Y3100.0
G00 X1350.0
G00 Z25.0
M05
M6 T6
G00 G90 G54 S10000 M3
G43H6
G0Y 3100.0 Z110.0
G00 X304.80 Y2997.20
G01 Z80.65 F2000
G01 X-38.1 F4250
G01 Z110.0 F2000
G01 X301.625 F4250
G01 Z80.65 F2000
G01 Y0 F4250
G01 Z110.0 F2000
G01 X-38.1 F4250
G01 Z80.65 F2000
G00 Z110.0
G00 Y3100.0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G00 X327.98
(DX_Vpocket_Y1_Center)
(DX_Vpocket_Y2_Center)
G00 Y265.83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Y3091.00
(High_Y_CutOff)
G00 X 1244.05 Y3054.50
G01 X-38.1 F8000
G01 Z0.0
G01 X1244.05
G00 Z50.0
G00 X1244.05 Y3100.0
M05
G91 G28 Z0
M6 T1
G00 G90 G54 S18000 M3
G43H1
G00 Y3100.0 Z110.0
G00Z60.5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X254.00 Y2994.03
(&gt;&gt;&gt;SUB TopPocket)
G00 Z66.93
G91
G01 Y44.0 F2500
X41.0
Y-85.0
X-85.0
Y85.0
X45.0
Y-10.0
X34.0
Y-68.0
X-68.0
Y68.0
X34.0
Y-10.0
X24.0
Y-48.0
X-48.0
Y48.0
X24.0
Y-10.0
X14.0
Y-28.0
X-28.0
Y28.0
X14.0
Y-10.0
X4.0
Y-8.0
X-8.0
Y8.0
X4.0
G90
G00 Z110.0
(&lt;&lt;&lt;END SUB TopPocket)
(Y0_TopPocket_X0_Center)
G00 X254.00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X53.98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P4" s="64"/>
      <c r="R4" s="58" t="str">
        <f ca="1">_xlfn.TEXTJOIN(CHAR(10),FALSE,PGM_Male_Connected_Ceiling)</f>
        <v xml:space="preserve">(##### PGM Male Connected Ceiling)
(Standard Male Connected Ceiling Panel 11.75" x 120" Finished)
(Created 01/13/26)
G40 G80 G91 G28 Z0
M6 T7
S6000 M3
G54 G90
G43H7
G00 Y3100.0 Z50.0
G00 X-11.74
G01 Z15.28 F2000
G01 Y-50.0 F4000
X-38.10
G00 Z50.0
G00 Y3100.0
M05
G91 G28 Z0
M6 T8
G00 G90 G54 S6000 M3
G43H8
G00 Z25.0
(Far_MalePre_X)
G00 Y3100.0 Z25.0
G00 X1350.0
G00 Y-50.0
(Far_Male_X)
G01 X333.38 Z-31.00 F2000
G01 Y3100.0 F3500
(Top_Connecting_Male)
G01 X1350.0
G01 Y3089.66
G01 X-50.0
G00 Z25.0
G00 Y3100.0
G00 X1350.0
G00 Z25.0
M05
G91 G28 Z0
M6 T5
G00 G90 G54 M3 S9000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Y3076.00
(DY_HPocket_DX_Center)
(DY_HPocket_XM_Center)
(DY_HPocket_X0_Center)
G00 X257.18Y3103.70
(&gt;&gt;&gt;SUB DYHPocket)
G91
G01 X-42.0 F2500
Y-61.6
X84.0
Y+61.6
X-84 Z-50.8
Y-61.6
X84.0
Y+61.6
X-42.0
G90
G00Z50.0
G00 Y3103.70
(&lt;&lt;&lt;SUB DYHPocket)
G00 Z50.0
G00 X1244.05 Y3100.0
G00 Z50.0
G00 X1244.05 Y3100.0
M05
G91 G28 Z0
M6 T6
G00 G90 G54 S10000 M3
G43H6
G00 Y3100.0 Z80.647
(Far_MalePre_X)
G00 X1350.0
G01 X-50.0 F4250
G00 Y50.8
(Far_MalePre_X)
G01 X1350.0 F4250
G00 Z50.0
G00 Y3100.0
M05
G91 G28 Z0
M6 T1
G00 G90 G54 S18000 M3
G43H1
G00 Y3100.0 Z110.0
G00 X44.45 Y3050.00
(Y0_TopPocket_X0_Center)
G00 X257.18 Y53.98
(&gt;&gt;&gt;SUB TopPocket)
G00 Z66.93
G91
G01 Y44.0 F2500
X41.0
Y-85.0
X-85.0
Y85.0
X45.0
Y-10.0
X34.0
Y-68.0
X-68.0
Y68.0
X34.0
Y-10.0
X24.0
Y-48.0
X-48.0
Y48.0
X24.0
Y-10.0
X14.0
Y-28.0
X-28.0
Y28.0
X14.0
Y-10.0
X4.0
Y-8.0
X-8.0
Y8.0
X4.0
G90
G00 Z110.0
(&lt;&lt;&lt;END SUB TopPocket)
(DY_TopPocket_XM_Center)
(DY_TopPocket_DX_Center)
G00 X53.98 Y53.98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c r="S4" s="93"/>
      <c r="T4" s="58" t="str">
        <f ca="1">_xlfn.TEXTJOIN(CHAR(10),FALSE,PGM_Female_Connected_Ceiling)</f>
        <v xml:space="preserve">(##### PGM Female Connected Ceiling)
(Standard Female Connected Ceiling Panel 11.75" x 120" Finished)
(Created 01/13/26)
G40 G80 G91 G28 Z0
M6 T7
S6000 M3
G54 G90
G43H7
G00 Y3100.0 Z50.0
G00 X-11.74
G01 Z15.28 F2000
G01 Y-50.0 F4000
G01 Y-15.27
 G01 X1350
G00 Z50.0
G00 Y3100.0
M05
G91 G28 Z0
M6 T8
G00 G90 G54 S6000 M3
G43H8
G00 Z25.0
(Far_MalePre_X)
G00 Y3100.0 Z25.0
G00 X1350.0
G00 Y-50.0
(Far_Male_X)
G01 X333.38 Z-31.00 F2000
G01 Y3100.0 F3500
G00Z25.0
M05
G91 G28 Z0
M6 T5
G00 G90 G54 S6000 M3
G43H5
G00 Y3100.0 Z50.0
G00 X-25.0
(X0_Vpocket_Y7_Center)
(X0_Vpocket_Y6_Center)
G00 X-15.0 Y2805.83
(&gt;&gt;&gt;SUB X0VPocket)
G91
G01 Y-42.0  Z-50.8 F2500
X52.46
Y84.0
X-52.46
G90
G00 Z50.0
G00 X-25.0
(&lt;&lt;&lt;SUB X0VPocket)
(X0_Vpocket_Y5_Center)
(X0_Vpocket_Y4_Center)
G00 X-15.0 Y1535.83
(&gt;&gt;&gt;SUB X0VPocket)
G91
G01 Y-42.0  Z-50.8 F2500
X52.46
Y84.0
X-52.46
G90
G00 Z50.0
G00 X-25.0
(&lt;&lt;&lt;SUB X0VPocket)
(X0_Vpocket_Y3_Center)
(X0_Vpocket_Y2_Center)
G00 X-15.0 Y265.83
(&gt;&gt;&gt;SUB X0VPocket)
G91
G01 Y-42.0  Z-50.8 F2500
X52.46
Y84.0
X-52.46
G90
G00 Z50.0
G00 X-25.0
(&lt;&lt;&lt;SUB X0VPocket)
(X0_Vpocket_Y1_Center)
G00 Y-25.0
(Y0_HPocket_X0_Center)
G00 X257.18 Y-12.0
(&gt;&gt;&gt;DIFF Y0HPocket)
G91
G01 X-42.0 F2500
Y52.87000094
X84.0
Y-52.87000094
X-84 Z-50.8
Y52.87000094
X84.0
Y-52.87000094
X-42.0
G90
G00Z50.0
G00Y-50.0
(&lt;&lt;&lt;DIFF Y0HPocket)
(Y0_HPocket_XM_Center)
(Y0_HPocket_DX_Center)
G00 X327.98
(DX_Vpocket_Y1_Center)
(DX_Vpocket_Y2_Center)
G00 Y264.56
(&gt;&gt;&gt;SUB DXVPocket)
G91
G01 Y42.0 Z-50.8 F2500
X-42
Y-86.0
X42
Y86 
G90
G00Z50.0
(&lt;&lt;&lt;SUB DXVPocket)
(DX_Vpocket_Y3_Center)
(DX_Vpocket_Y4_Center)
G00 Y1535.83
(&gt;&gt;&gt;SUB DXVPocket)
G91
G01 Y42.0 Z-50.8 F2500
X-42
Y-86.0
X42
Y86 
G90
G00Z50.0
(&lt;&lt;&lt;SUB DXVPocket)
(DX_Vpocket_Y5_Center)
(DX_Vpocket_Y6_Center)
G00 Y2805.83
(&gt;&gt;&gt;SUB DXVPocket)
G91
G01 Y42.0 Z-50.8 F2500
X-42
Y-86.0
X42
Y86 
G90
G00Z50.0
(&lt;&lt;&lt;SUB DXVPocket)
(DX_Vpocket_Y7_Center)
G00 Y3091.00
(High_Y_CutOff)
G00 X 1244.05 Y3069.50
G01 X-38.1 F8000
G01 Z0.0
G01 X1244.05
G00 Z50.0
G00 X1244.05 Y3100.0
G00 Z50.0
G00 X1244.05 Y3100.0
M05
G91 G28 Z0
M6 T6
G00 G90 G54 S10000 M3
G43H6
G00 Y3100.0 Z80.647
(Far_MalePre_X)
G00 X1350.0
(High_TopFemale)
G00 Y2997.20
G01 X-50.0 F4250
G00 Z50.0
G00 Y3100.0
M05
G91 G28 Z0
M6 T1
G00 G90 G54 S18000 M3
G43H1
G00 Y3100.0 Z110.0
G00 X44.45 Y3050.00
(DY_TopPocket_DX_Center)
G00 X53.98 Y2994.03
(&gt;&gt;&gt;SUB TopPocket)
G00 Z66.93
G91
G01 Y44.0 F2500
X41.0
Y-85.0
X-85.0
Y85.0
X45.0
Y-10.0
X34.0
Y-68.0
X-68.0
Y68.0
X34.0
Y-10.0
X24.0
Y-48.0
X-48.0
Y48.0
X24.0
Y-10.0
X14.0
Y-28.0
X-28.0
Y28.0
X14.0
Y-10.0
X4.0
Y-8.0
X-8.0
Y8.0
X4.0
G90
G00 Z110.0
(&lt;&lt;&lt;END SUB TopPocket)
(DY_TopPocket_XM_Center)
(DY_TopPocket_X0_Center)
G00 X263.53 Y2994.03
(&gt;&gt;&gt;SUB TopPocket)
G00 Z66.93
G91
G01 Y44.0 F2500
X41.0
Y-85.0
X-85.0
Y85.0
X45.0
Y-10.0
X34.0
Y-68.0
X-68.0
Y68.0
X34.0
Y-10.0
X24.0
Y-48.0
X-48.0
Y48.0
X24.0
Y-10.0
X14.0
Y-28.0
X-28.0
Y28.0
X14.0
Y-10.0
X4.0
Y-8.0
X-8.0
Y8.0
X4.0
G90
G00 Z110.0
(&lt;&lt;&lt;END SUB TopPocket)
G00Z110.0
G00X300.0Y3100.0
M05
G40 G80 G91 G28 Z0 M5
M30
</v>
      </c>
    </row>
    <row r="5" spans="1:20" ht="15.75" thickTop="1" x14ac:dyDescent="0.25">
      <c r="C5" s="8" t="s">
        <v>198</v>
      </c>
      <c r="E5" s="8" t="s">
        <v>198</v>
      </c>
      <c r="G5" s="8" t="s">
        <v>198</v>
      </c>
      <c r="I5" s="8" t="s">
        <v>198</v>
      </c>
      <c r="K5" s="8" t="s">
        <v>198</v>
      </c>
      <c r="M5" s="8" t="s">
        <v>198</v>
      </c>
      <c r="N5" s="8"/>
      <c r="P5" s="64"/>
    </row>
    <row r="6" spans="1:20" x14ac:dyDescent="0.25">
      <c r="C6" s="8" t="s">
        <v>198</v>
      </c>
      <c r="E6" s="8" t="s">
        <v>198</v>
      </c>
      <c r="G6" s="8" t="s">
        <v>198</v>
      </c>
      <c r="I6" s="8" t="s">
        <v>198</v>
      </c>
      <c r="K6" s="8" t="s">
        <v>198</v>
      </c>
      <c r="M6" s="8" t="s">
        <v>198</v>
      </c>
      <c r="N6" s="8"/>
      <c r="P6" s="64"/>
    </row>
    <row r="7" spans="1:20" x14ac:dyDescent="0.25">
      <c r="C7" s="8" t="s">
        <v>198</v>
      </c>
      <c r="E7" s="8" t="s">
        <v>198</v>
      </c>
      <c r="G7" s="8" t="s">
        <v>198</v>
      </c>
      <c r="I7" s="8" t="s">
        <v>198</v>
      </c>
      <c r="K7" s="8" t="s">
        <v>198</v>
      </c>
      <c r="M7" s="8" t="s">
        <v>198</v>
      </c>
      <c r="N7" s="8"/>
      <c r="P7" s="64"/>
    </row>
    <row r="8" spans="1:20" x14ac:dyDescent="0.25">
      <c r="B8" s="7" t="s">
        <v>195</v>
      </c>
      <c r="C8" s="8" t="s">
        <v>198</v>
      </c>
      <c r="D8" s="7" t="s">
        <v>196</v>
      </c>
      <c r="E8" s="8" t="s">
        <v>198</v>
      </c>
      <c r="F8" s="7" t="s">
        <v>192</v>
      </c>
      <c r="G8" s="8" t="s">
        <v>198</v>
      </c>
      <c r="H8" s="7" t="s">
        <v>308</v>
      </c>
      <c r="I8" s="8" t="s">
        <v>198</v>
      </c>
      <c r="J8" s="7" t="s">
        <v>193</v>
      </c>
      <c r="K8" s="8" t="s">
        <v>198</v>
      </c>
      <c r="L8" s="7" t="s">
        <v>194</v>
      </c>
      <c r="M8" s="8" t="s">
        <v>198</v>
      </c>
      <c r="N8" s="8"/>
      <c r="O8" s="7" t="s">
        <v>277</v>
      </c>
      <c r="P8" s="64"/>
      <c r="R8" s="84" t="s">
        <v>358</v>
      </c>
      <c r="T8" s="7" t="s">
        <v>359</v>
      </c>
    </row>
    <row r="9" spans="1:20" x14ac:dyDescent="0.25">
      <c r="B9" s="7" t="str">
        <f>"(Standard Freezer Panel " &amp; Width&amp;""" x " &amp; Height&amp; """ Finished)"</f>
        <v>(Standard Freezer Panel 11.75" x 120" Finished)</v>
      </c>
      <c r="C9" s="8" t="s">
        <v>198</v>
      </c>
      <c r="D9" s="7" t="str">
        <f>"(Standard Refrigerator Panel " &amp; Width&amp;""" x " &amp; Height&amp; """ Finished)"</f>
        <v>(Standard Refrigerator Panel 11.75" x 120" Finished)</v>
      </c>
      <c r="E9" s="8" t="s">
        <v>198</v>
      </c>
      <c r="F9" s="7" t="str">
        <f>"(Standard Ceiling Panel " &amp; Width&amp;""" x " &amp; Height&amp; """ Finished)"</f>
        <v>(Standard Ceiling Panel 11.75" x 120" Finished)</v>
      </c>
      <c r="G9" s="8" t="s">
        <v>198</v>
      </c>
      <c r="H9" s="7" t="str">
        <f>"(Standard DOOR FLOOR Panel " &amp; Width&amp;""" x " &amp; Height&amp; """ Finished)"</f>
        <v>(Standard DOOR FLOOR Panel 11.75" x 120" Finished)</v>
      </c>
      <c r="I9" s="8" t="s">
        <v>198</v>
      </c>
      <c r="J9" s="7" t="str">
        <f>"(Standard Female Ceiling End Panel " &amp; CeilingEndWidth&amp;""" x " &amp; Height&amp; """ Finished)"</f>
        <v>(Standard Female Ceiling End Panel 11.75" x 120" Finished)</v>
      </c>
      <c r="K9" s="8" t="s">
        <v>198</v>
      </c>
      <c r="L9" s="7" t="str">
        <f>"(Standard Male Ceiling End Panel " &amp; CeilingEndWidth&amp;""" x " &amp; Height&amp; """ Finished)"</f>
        <v>(Standard Male Ceiling End Panel 11.75" x 120" Finished)</v>
      </c>
      <c r="M9" s="8" t="s">
        <v>198</v>
      </c>
      <c r="N9" s="8"/>
      <c r="O9" s="59" t="str">
        <f>"(Standard Special T" &amp; CeilingEndWidth&amp;""" x " &amp; Height&amp; """ Finished)"</f>
        <v>(Standard Special T11.75" x 120" Finished)</v>
      </c>
      <c r="P9" s="64"/>
      <c r="R9" s="84" t="str">
        <f>"(Standard Male Connected Ceiling Panel " &amp; Width&amp;""" x " &amp; Height&amp; """ Finished)"</f>
        <v>(Standard Male Connected Ceiling Panel 11.75" x 120" Finished)</v>
      </c>
      <c r="T9" s="7" t="str">
        <f>"(Standard Female Connected Ceiling Panel " &amp; Width&amp;""" x " &amp; Height&amp; """ Finished)"</f>
        <v>(Standard Female Connected Ceiling Panel 11.75" x 120" Finished)</v>
      </c>
    </row>
    <row r="10" spans="1:20" x14ac:dyDescent="0.25">
      <c r="B10" s="7" t="str">
        <f ca="1">"(Created "&amp;TEXT(TODAY(),"mm/dd/yy")&amp;")"</f>
        <v>(Created 01/13/26)</v>
      </c>
      <c r="C10" s="8" t="s">
        <v>198</v>
      </c>
      <c r="D10" s="7" t="str">
        <f ca="1">"(Created "&amp;TEXT(TODAY(),"mm/dd/yy")&amp;")"</f>
        <v>(Created 01/13/26)</v>
      </c>
      <c r="E10" s="8" t="s">
        <v>198</v>
      </c>
      <c r="F10" s="7" t="str">
        <f ca="1">"(Created "&amp;TEXT(TODAY(),"mm/dd/yy")&amp;")"</f>
        <v>(Created 01/13/26)</v>
      </c>
      <c r="G10" s="8" t="s">
        <v>198</v>
      </c>
      <c r="H10" s="7" t="str">
        <f ca="1">"(Created "&amp;TEXT(TODAY(),"mm/dd/yy")&amp;")"</f>
        <v>(Created 01/13/26)</v>
      </c>
      <c r="I10" s="8" t="s">
        <v>198</v>
      </c>
      <c r="J10" s="7" t="str">
        <f ca="1">"(Created "&amp;TEXT(TODAY(),"mm/dd/yy")&amp;")"</f>
        <v>(Created 01/13/26)</v>
      </c>
      <c r="K10" s="8" t="s">
        <v>198</v>
      </c>
      <c r="L10" s="7" t="str">
        <f ca="1">"(Created "&amp;TEXT(TODAY(),"mm/dd/yy")&amp;")"</f>
        <v>(Created 01/13/26)</v>
      </c>
      <c r="M10" s="8" t="s">
        <v>198</v>
      </c>
      <c r="N10" s="8"/>
      <c r="O10" s="7" t="str">
        <f ca="1">"(Created "&amp;TEXT(TODAY(),"mm/dd/yy")&amp;")"</f>
        <v>(Created 01/13/26)</v>
      </c>
      <c r="P10" s="64"/>
      <c r="R10" s="84" t="str">
        <f ca="1">"(Created "&amp;TEXT(TODAY(),"mm/dd/yy")&amp;")"</f>
        <v>(Created 01/13/26)</v>
      </c>
      <c r="T10" s="7" t="str">
        <f ca="1">"(Created "&amp;TEXT(TODAY(),"mm/dd/yy")&amp;")"</f>
        <v>(Created 01/13/26)</v>
      </c>
    </row>
    <row r="11" spans="1:20" x14ac:dyDescent="0.25">
      <c r="B11" s="7" t="s">
        <v>24</v>
      </c>
      <c r="C11" s="8" t="s">
        <v>198</v>
      </c>
      <c r="D11" s="7" t="s">
        <v>24</v>
      </c>
      <c r="E11" s="8" t="s">
        <v>198</v>
      </c>
      <c r="F11" s="7" t="s">
        <v>24</v>
      </c>
      <c r="G11" s="8" t="s">
        <v>198</v>
      </c>
      <c r="H11" s="7" t="s">
        <v>24</v>
      </c>
      <c r="I11" s="8" t="s">
        <v>198</v>
      </c>
      <c r="J11" s="7" t="s">
        <v>24</v>
      </c>
      <c r="K11" s="8" t="s">
        <v>198</v>
      </c>
      <c r="L11" s="7" t="s">
        <v>24</v>
      </c>
      <c r="M11" s="8" t="s">
        <v>198</v>
      </c>
      <c r="N11" s="8"/>
      <c r="O11" s="7" t="s">
        <v>24</v>
      </c>
      <c r="P11" s="64"/>
      <c r="R11" s="84" t="s">
        <v>24</v>
      </c>
      <c r="T11" s="7" t="s">
        <v>24</v>
      </c>
    </row>
    <row r="12" spans="1:20" x14ac:dyDescent="0.25">
      <c r="B12" s="7" t="s">
        <v>25</v>
      </c>
      <c r="C12" s="8" t="s">
        <v>198</v>
      </c>
      <c r="D12" s="7" t="s">
        <v>25</v>
      </c>
      <c r="E12" s="8" t="s">
        <v>198</v>
      </c>
      <c r="F12" s="7" t="s">
        <v>25</v>
      </c>
      <c r="G12" s="8" t="s">
        <v>198</v>
      </c>
      <c r="H12" s="7" t="s">
        <v>25</v>
      </c>
      <c r="I12" s="8" t="s">
        <v>198</v>
      </c>
      <c r="J12" s="7" t="s">
        <v>25</v>
      </c>
      <c r="K12" s="8" t="s">
        <v>198</v>
      </c>
      <c r="L12" s="7" t="s">
        <v>33</v>
      </c>
      <c r="M12" s="8" t="s">
        <v>198</v>
      </c>
      <c r="N12" s="8"/>
      <c r="O12" s="7" t="s">
        <v>25</v>
      </c>
      <c r="P12" s="64"/>
      <c r="R12" s="84" t="s">
        <v>25</v>
      </c>
      <c r="T12" s="7" t="s">
        <v>25</v>
      </c>
    </row>
    <row r="13" spans="1:20" x14ac:dyDescent="0.25">
      <c r="B13" s="7" t="s">
        <v>26</v>
      </c>
      <c r="C13" s="8" t="s">
        <v>198</v>
      </c>
      <c r="D13" s="7" t="s">
        <v>26</v>
      </c>
      <c r="E13" s="8" t="s">
        <v>198</v>
      </c>
      <c r="F13" s="7" t="s">
        <v>26</v>
      </c>
      <c r="G13" s="8" t="s">
        <v>198</v>
      </c>
      <c r="H13" s="7" t="s">
        <v>26</v>
      </c>
      <c r="I13" s="8" t="s">
        <v>198</v>
      </c>
      <c r="J13" s="7" t="s">
        <v>26</v>
      </c>
      <c r="K13" s="8" t="s">
        <v>198</v>
      </c>
      <c r="L13" s="7" t="str">
        <f>"S"&amp;T8RPMs &amp;" M3"</f>
        <v>S4500 M3</v>
      </c>
      <c r="M13" s="8" t="s">
        <v>198</v>
      </c>
      <c r="N13" s="8"/>
      <c r="O13" s="7" t="s">
        <v>26</v>
      </c>
      <c r="P13" s="64"/>
      <c r="R13" s="84" t="s">
        <v>26</v>
      </c>
      <c r="T13" s="7" t="s">
        <v>26</v>
      </c>
    </row>
    <row r="14" spans="1:20" x14ac:dyDescent="0.25">
      <c r="B14" s="7" t="s">
        <v>27</v>
      </c>
      <c r="C14" s="8" t="s">
        <v>198</v>
      </c>
      <c r="D14" s="7" t="s">
        <v>27</v>
      </c>
      <c r="E14" s="8" t="s">
        <v>198</v>
      </c>
      <c r="F14" s="7" t="s">
        <v>27</v>
      </c>
      <c r="G14" s="8" t="s">
        <v>198</v>
      </c>
      <c r="H14" s="7" t="s">
        <v>27</v>
      </c>
      <c r="I14" s="8" t="s">
        <v>198</v>
      </c>
      <c r="J14" s="7" t="s">
        <v>27</v>
      </c>
      <c r="K14" s="8" t="s">
        <v>198</v>
      </c>
      <c r="L14" s="7" t="s">
        <v>27</v>
      </c>
      <c r="M14" s="8" t="s">
        <v>198</v>
      </c>
      <c r="N14" s="8"/>
      <c r="O14" s="7" t="s">
        <v>27</v>
      </c>
      <c r="P14" s="64"/>
      <c r="R14" s="84" t="s">
        <v>27</v>
      </c>
      <c r="T14" s="7" t="s">
        <v>27</v>
      </c>
    </row>
    <row r="15" spans="1:20" x14ac:dyDescent="0.25">
      <c r="B15" s="7" t="s">
        <v>28</v>
      </c>
      <c r="C15" s="8" t="s">
        <v>198</v>
      </c>
      <c r="D15" s="7" t="s">
        <v>28</v>
      </c>
      <c r="E15" s="8" t="s">
        <v>198</v>
      </c>
      <c r="F15" s="7" t="s">
        <v>28</v>
      </c>
      <c r="G15" s="8" t="s">
        <v>198</v>
      </c>
      <c r="H15" s="7" t="s">
        <v>28</v>
      </c>
      <c r="I15" s="8" t="s">
        <v>198</v>
      </c>
      <c r="J15" s="7" t="s">
        <v>28</v>
      </c>
      <c r="K15" s="8" t="s">
        <v>198</v>
      </c>
      <c r="L15" s="7" t="s">
        <v>34</v>
      </c>
      <c r="M15" s="8" t="s">
        <v>198</v>
      </c>
      <c r="N15" s="8"/>
      <c r="O15" s="7" t="s">
        <v>28</v>
      </c>
      <c r="P15" s="64"/>
      <c r="R15" s="84" t="s">
        <v>28</v>
      </c>
      <c r="T15" s="7" t="s">
        <v>28</v>
      </c>
    </row>
    <row r="16" spans="1:20" x14ac:dyDescent="0.25">
      <c r="B16" s="7" t="s">
        <v>80</v>
      </c>
      <c r="C16" s="8" t="s">
        <v>198</v>
      </c>
      <c r="D16" s="7" t="s">
        <v>80</v>
      </c>
      <c r="E16" s="8" t="s">
        <v>198</v>
      </c>
      <c r="F16" s="7" t="s">
        <v>80</v>
      </c>
      <c r="G16" s="8" t="s">
        <v>198</v>
      </c>
      <c r="H16" s="7" t="s">
        <v>80</v>
      </c>
      <c r="I16" s="8" t="s">
        <v>198</v>
      </c>
      <c r="J16" s="7" t="s">
        <v>80</v>
      </c>
      <c r="K16" s="8" t="s">
        <v>198</v>
      </c>
      <c r="L16" s="7" t="s">
        <v>85</v>
      </c>
      <c r="M16" s="8" t="s">
        <v>198</v>
      </c>
      <c r="N16" s="8"/>
      <c r="O16" s="7" t="s">
        <v>80</v>
      </c>
      <c r="P16" s="64"/>
      <c r="R16" s="84" t="s">
        <v>80</v>
      </c>
      <c r="T16" s="7" t="s">
        <v>80</v>
      </c>
    </row>
    <row r="17" spans="2:20" x14ac:dyDescent="0.25">
      <c r="B17" s="7" t="str">
        <f>"G00 X"&amp;TEXT(BaseFemaleX0*mm-23-5,"#####.00")</f>
        <v>G00 X-11.74</v>
      </c>
      <c r="C17" s="8" t="s">
        <v>198</v>
      </c>
      <c r="D17" s="7" t="str">
        <f>"G00 X"&amp;TEXT(BaseFemaleX0*mm-23-5,"#####.00")</f>
        <v>G00 X-11.74</v>
      </c>
      <c r="E17" s="8" t="s">
        <v>198</v>
      </c>
      <c r="F17" s="7" t="str">
        <f>"G00 X"&amp;TEXT(BaseFemaleX0*mm-23-5,"#####.00")</f>
        <v>G00 X-11.74</v>
      </c>
      <c r="G17" s="8" t="s">
        <v>198</v>
      </c>
      <c r="H17" s="7" t="str">
        <f>"G00 X"&amp;TEXT(BaseFemaleX0*mm-23-5,"#####.00")</f>
        <v>G00 X-11.74</v>
      </c>
      <c r="I17" s="8" t="s">
        <v>198</v>
      </c>
      <c r="J17" s="7" t="str">
        <f>"G00 X"&amp;TEXT(BaseFemaleX0*mm-23-5,"#####.00")</f>
        <v>G00 X-11.74</v>
      </c>
      <c r="K17" s="8" t="s">
        <v>198</v>
      </c>
      <c r="L17" s="7" t="s">
        <v>35</v>
      </c>
      <c r="M17" s="8" t="s">
        <v>198</v>
      </c>
      <c r="N17" s="8"/>
      <c r="O17" s="7" t="str">
        <f>"G00 X"&amp;TEXT(BaseFemaleX0*mm-23-5,"#####.00")</f>
        <v>G00 X-11.74</v>
      </c>
      <c r="P17" s="64"/>
      <c r="R17" s="7" t="str">
        <f>"G00 X"&amp;TEXT(BaseFemaleX0*mm-23-5,"#####.00")</f>
        <v>G00 X-11.74</v>
      </c>
      <c r="T17" s="7" t="str">
        <f>"G00 X"&amp;TEXT(BaseFemaleX0*mm-23-5,"#####.00")</f>
        <v>G00 X-11.74</v>
      </c>
    </row>
    <row r="18" spans="2:20" x14ac:dyDescent="0.25">
      <c r="B18" s="7" t="str">
        <f>"G01 Z" &amp;TEXT(T7Z,"#####.00") &amp;" F2000"</f>
        <v>G01 Z15.28 F2000</v>
      </c>
      <c r="C18" s="8" t="s">
        <v>198</v>
      </c>
      <c r="D18" s="7" t="str">
        <f>"G01 Z" &amp;TEXT(T7Z,"#####.00") &amp;" F2000"</f>
        <v>G01 Z15.28 F2000</v>
      </c>
      <c r="E18" s="8" t="s">
        <v>198</v>
      </c>
      <c r="F18" s="7" t="str">
        <f>"G01 Z" &amp;TEXT(T7Z,"#####.00") &amp;" F2000"</f>
        <v>G01 Z15.28 F2000</v>
      </c>
      <c r="G18" s="8" t="s">
        <v>198</v>
      </c>
      <c r="H18" s="7" t="str">
        <f>"G01 Z" &amp;TEXT(T7Z,"#####.00") &amp;" F2000"</f>
        <v>G01 Z15.28 F2000</v>
      </c>
      <c r="I18" s="8" t="s">
        <v>198</v>
      </c>
      <c r="J18" s="7" t="str">
        <f>"G01 Z" &amp;TEXT(T7Z,"#####.00") &amp;" F2000"</f>
        <v>G01 Z15.28 F2000</v>
      </c>
      <c r="K18" s="8" t="s">
        <v>198</v>
      </c>
      <c r="L18" s="7" t="s">
        <v>86</v>
      </c>
      <c r="M18" s="8" t="s">
        <v>198</v>
      </c>
      <c r="N18" s="8"/>
      <c r="O18" s="7" t="str">
        <f>"G01 Z" &amp;TEXT(T7Z,"#####.00") &amp;" F2000"</f>
        <v>G01 Z15.28 F2000</v>
      </c>
      <c r="P18" s="64"/>
      <c r="R18" s="84" t="str">
        <f>"G01 Z" &amp;TEXT(T7Z,"#####.00") &amp;" F2000"</f>
        <v>G01 Z15.28 F2000</v>
      </c>
      <c r="T18" s="7" t="str">
        <f>"G01 Z" &amp;TEXT(T7Z,"#####.00") &amp;" F2000"</f>
        <v>G01 Z15.28 F2000</v>
      </c>
    </row>
    <row r="19" spans="2:20" x14ac:dyDescent="0.25">
      <c r="B19" s="7" t="str">
        <f>"G01 Y-50.0 F" &amp;T7Feed</f>
        <v>G01 Y-50.0 F4000</v>
      </c>
      <c r="C19" s="8" t="s">
        <v>198</v>
      </c>
      <c r="D19" s="7" t="str">
        <f>"G01 Y-50.0 F" &amp;T7Feed</f>
        <v>G01 Y-50.0 F4000</v>
      </c>
      <c r="E19" s="8" t="s">
        <v>198</v>
      </c>
      <c r="F19" s="7" t="str">
        <f>"G01 Y-50.0 F" &amp;T7Feed</f>
        <v>G01 Y-50.0 F4000</v>
      </c>
      <c r="G19" s="8" t="s">
        <v>198</v>
      </c>
      <c r="H19" s="7" t="str">
        <f>"G01 Y-50.0 F" &amp;T7Feed</f>
        <v>G01 Y-50.0 F4000</v>
      </c>
      <c r="I19" s="8" t="s">
        <v>198</v>
      </c>
      <c r="J19" s="7" t="str">
        <f>"G01 Y-50.0 F" &amp;T7Feed</f>
        <v>G01 Y-50.0 F4000</v>
      </c>
      <c r="K19" s="8" t="s">
        <v>198</v>
      </c>
      <c r="L19" s="7" t="s">
        <v>87</v>
      </c>
      <c r="M19" s="8" t="s">
        <v>198</v>
      </c>
      <c r="N19" s="8"/>
      <c r="O19" s="7" t="str">
        <f>"G01 Y-50.0 F" &amp;T7Feed</f>
        <v>G01 Y-50.0 F4000</v>
      </c>
      <c r="P19" s="64"/>
      <c r="R19" s="84" t="str">
        <f>"G01 Y-50.0 F" &amp;T7Feed</f>
        <v>G01 Y-50.0 F4000</v>
      </c>
      <c r="T19" s="7" t="str">
        <f>"G01 Y-50.0 F" &amp;T7Feed</f>
        <v>G01 Y-50.0 F4000</v>
      </c>
    </row>
    <row r="20" spans="2:20" x14ac:dyDescent="0.25">
      <c r="B20" s="7" t="s">
        <v>29</v>
      </c>
      <c r="C20" s="8" t="s">
        <v>198</v>
      </c>
      <c r="D20" s="7" t="s">
        <v>29</v>
      </c>
      <c r="E20" s="8" t="s">
        <v>198</v>
      </c>
      <c r="F20" s="7" t="s">
        <v>29</v>
      </c>
      <c r="G20" s="8" t="s">
        <v>198</v>
      </c>
      <c r="H20" s="7" t="s">
        <v>29</v>
      </c>
      <c r="I20" s="8" t="s">
        <v>198</v>
      </c>
      <c r="J20" s="7" t="s">
        <v>29</v>
      </c>
      <c r="K20" s="8" t="s">
        <v>198</v>
      </c>
      <c r="L20" s="7" t="s">
        <v>37</v>
      </c>
      <c r="M20" s="8" t="s">
        <v>198</v>
      </c>
      <c r="N20" s="8"/>
      <c r="O20" s="7" t="s">
        <v>29</v>
      </c>
      <c r="P20" s="64"/>
      <c r="R20" s="84" t="s">
        <v>29</v>
      </c>
      <c r="T20" s="7" t="s">
        <v>362</v>
      </c>
    </row>
    <row r="21" spans="2:20" x14ac:dyDescent="0.25">
      <c r="B21" s="7" t="s">
        <v>81</v>
      </c>
      <c r="C21" s="8" t="s">
        <v>198</v>
      </c>
      <c r="D21" s="7" t="s">
        <v>81</v>
      </c>
      <c r="E21" s="8" t="s">
        <v>198</v>
      </c>
      <c r="F21" s="7" t="s">
        <v>81</v>
      </c>
      <c r="G21" s="8" t="s">
        <v>198</v>
      </c>
      <c r="H21" s="7" t="s">
        <v>81</v>
      </c>
      <c r="I21" s="8" t="s">
        <v>198</v>
      </c>
      <c r="J21" s="7" t="s">
        <v>81</v>
      </c>
      <c r="K21" s="8" t="s">
        <v>198</v>
      </c>
      <c r="L21" s="7" t="str">
        <f>"G01 X"&amp;TEXT((BaseMaleDX)*mm,"#####.00")&amp;" Z" &amp;TEXT(T8Z,"#####.00") &amp; " F2000"</f>
        <v>G01 X1212.85 Z-31.00 F2000</v>
      </c>
      <c r="M21" s="8" t="s">
        <v>198</v>
      </c>
      <c r="N21" s="8"/>
      <c r="O21" s="7" t="s">
        <v>81</v>
      </c>
      <c r="P21" s="64"/>
      <c r="R21" s="84" t="s">
        <v>81</v>
      </c>
      <c r="T21" s="7" t="s">
        <v>363</v>
      </c>
    </row>
    <row r="22" spans="2:20" x14ac:dyDescent="0.25">
      <c r="B22" s="7" t="s">
        <v>82</v>
      </c>
      <c r="C22" s="8" t="s">
        <v>198</v>
      </c>
      <c r="D22" s="7" t="s">
        <v>82</v>
      </c>
      <c r="E22" s="8" t="s">
        <v>198</v>
      </c>
      <c r="F22" s="7" t="s">
        <v>82</v>
      </c>
      <c r="G22" s="8" t="s">
        <v>198</v>
      </c>
      <c r="H22" s="7" t="s">
        <v>82</v>
      </c>
      <c r="I22" s="8" t="s">
        <v>198</v>
      </c>
      <c r="J22" s="7" t="s">
        <v>82</v>
      </c>
      <c r="K22" s="8" t="s">
        <v>198</v>
      </c>
      <c r="L22" s="7" t="str">
        <f>"G01 Y3100.0 F" &amp;T8Feed</f>
        <v>G01 Y3100.0 F3500</v>
      </c>
      <c r="M22" s="8" t="s">
        <v>198</v>
      </c>
      <c r="N22" s="8"/>
      <c r="O22" s="7" t="s">
        <v>82</v>
      </c>
      <c r="P22" s="64"/>
      <c r="R22" s="84" t="s">
        <v>82</v>
      </c>
      <c r="T22" s="7" t="s">
        <v>81</v>
      </c>
    </row>
    <row r="23" spans="2:20" x14ac:dyDescent="0.25">
      <c r="C23" s="8" t="s">
        <v>198</v>
      </c>
      <c r="E23" s="8" t="s">
        <v>198</v>
      </c>
      <c r="G23" s="8" t="s">
        <v>198</v>
      </c>
      <c r="I23" s="8" t="s">
        <v>198</v>
      </c>
      <c r="K23" s="8" t="s">
        <v>198</v>
      </c>
      <c r="L23" s="7" t="s">
        <v>38</v>
      </c>
      <c r="M23" s="8" t="s">
        <v>198</v>
      </c>
      <c r="N23" s="8"/>
      <c r="P23" s="64"/>
      <c r="R23" s="84"/>
      <c r="T23" s="7" t="s">
        <v>82</v>
      </c>
    </row>
    <row r="24" spans="2:20" x14ac:dyDescent="0.25">
      <c r="B24" s="7" t="s">
        <v>31</v>
      </c>
      <c r="C24" s="8" t="s">
        <v>198</v>
      </c>
      <c r="D24" s="7" t="s">
        <v>31</v>
      </c>
      <c r="E24" s="8" t="s">
        <v>198</v>
      </c>
      <c r="F24" s="7" t="s">
        <v>31</v>
      </c>
      <c r="G24" s="8" t="s">
        <v>198</v>
      </c>
      <c r="H24" s="7" t="s">
        <v>31</v>
      </c>
      <c r="I24" s="8" t="s">
        <v>198</v>
      </c>
      <c r="J24" s="7" t="s">
        <v>31</v>
      </c>
      <c r="K24" s="8" t="s">
        <v>198</v>
      </c>
      <c r="M24" s="8" t="s">
        <v>198</v>
      </c>
      <c r="N24" s="8"/>
      <c r="O24" s="7" t="s">
        <v>31</v>
      </c>
      <c r="P24" s="64"/>
      <c r="R24" s="84" t="s">
        <v>31</v>
      </c>
      <c r="T24" s="7" t="s">
        <v>31</v>
      </c>
    </row>
    <row r="25" spans="2:20" x14ac:dyDescent="0.25">
      <c r="B25" s="7" t="s">
        <v>32</v>
      </c>
      <c r="C25" s="8" t="s">
        <v>198</v>
      </c>
      <c r="D25" s="7" t="s">
        <v>32</v>
      </c>
      <c r="E25" s="8" t="s">
        <v>198</v>
      </c>
      <c r="F25" s="7" t="s">
        <v>32</v>
      </c>
      <c r="G25" s="8" t="s">
        <v>198</v>
      </c>
      <c r="H25" s="7" t="s">
        <v>32</v>
      </c>
      <c r="I25" s="8" t="s">
        <v>198</v>
      </c>
      <c r="J25" s="7" t="s">
        <v>32</v>
      </c>
      <c r="K25" s="8" t="s">
        <v>198</v>
      </c>
      <c r="L25" s="7" t="s">
        <v>31</v>
      </c>
      <c r="M25" s="8" t="s">
        <v>198</v>
      </c>
      <c r="N25" s="8"/>
      <c r="O25" s="7" t="s">
        <v>32</v>
      </c>
      <c r="P25" s="64"/>
      <c r="R25" s="84" t="s">
        <v>32</v>
      </c>
      <c r="T25" s="7" t="s">
        <v>32</v>
      </c>
    </row>
    <row r="26" spans="2:20" x14ac:dyDescent="0.25">
      <c r="B26" s="7" t="s">
        <v>33</v>
      </c>
      <c r="C26" s="8" t="s">
        <v>198</v>
      </c>
      <c r="D26" s="7" t="s">
        <v>33</v>
      </c>
      <c r="E26" s="8" t="s">
        <v>198</v>
      </c>
      <c r="F26" s="7" t="s">
        <v>33</v>
      </c>
      <c r="G26" s="8" t="s">
        <v>198</v>
      </c>
      <c r="H26" s="7" t="s">
        <v>33</v>
      </c>
      <c r="I26" s="8" t="s">
        <v>198</v>
      </c>
      <c r="J26" s="7" t="s">
        <v>131</v>
      </c>
      <c r="K26" s="8" t="s">
        <v>198</v>
      </c>
      <c r="L26" s="7" t="s">
        <v>32</v>
      </c>
      <c r="M26" s="8" t="s">
        <v>198</v>
      </c>
      <c r="N26" s="8"/>
      <c r="O26" s="7" t="s">
        <v>33</v>
      </c>
      <c r="P26" s="64"/>
      <c r="R26" s="84" t="s">
        <v>33</v>
      </c>
      <c r="T26" s="7" t="s">
        <v>33</v>
      </c>
    </row>
    <row r="27" spans="2:20" x14ac:dyDescent="0.25">
      <c r="B27" s="7" t="str">
        <f>"G00 G90 G54 S"&amp;T8RPMs  &amp;" M3"</f>
        <v>G00 G90 G54 S4500 M3</v>
      </c>
      <c r="C27" s="8" t="s">
        <v>198</v>
      </c>
      <c r="D27" s="7" t="str">
        <f>"G00 G90 G54 S"&amp;T8RPMs  &amp;" M3"</f>
        <v>G00 G90 G54 S4500 M3</v>
      </c>
      <c r="E27" s="8" t="s">
        <v>198</v>
      </c>
      <c r="F27" s="7" t="str">
        <f>"G00 G90 G54 S"&amp;T8RPMs  &amp;" M3"</f>
        <v>G00 G90 G54 S4500 M3</v>
      </c>
      <c r="G27" s="8" t="s">
        <v>198</v>
      </c>
      <c r="H27" s="7" t="str">
        <f>"G00 G90 G54 S"&amp;T8RPMs  &amp;" M3"</f>
        <v>G00 G90 G54 S4500 M3</v>
      </c>
      <c r="I27" s="8" t="s">
        <v>198</v>
      </c>
      <c r="J27" s="7" t="s">
        <v>285</v>
      </c>
      <c r="K27" s="8" t="s">
        <v>198</v>
      </c>
      <c r="L27" s="7" t="s">
        <v>131</v>
      </c>
      <c r="M27" s="8" t="s">
        <v>198</v>
      </c>
      <c r="N27" s="8"/>
      <c r="O27" s="7" t="str">
        <f>"G00 G90 G54 S"&amp;T8RPMs  &amp;" M3"</f>
        <v>G00 G90 G54 S4500 M3</v>
      </c>
      <c r="P27" s="64"/>
      <c r="R27" s="84" t="s">
        <v>83</v>
      </c>
      <c r="T27" s="7" t="s">
        <v>83</v>
      </c>
    </row>
    <row r="28" spans="2:20" x14ac:dyDescent="0.25">
      <c r="B28" s="7" t="s">
        <v>34</v>
      </c>
      <c r="C28" s="8" t="s">
        <v>198</v>
      </c>
      <c r="D28" s="7" t="s">
        <v>34</v>
      </c>
      <c r="E28" s="8" t="s">
        <v>198</v>
      </c>
      <c r="F28" s="7" t="s">
        <v>34</v>
      </c>
      <c r="G28" s="8" t="s">
        <v>198</v>
      </c>
      <c r="H28" s="7" t="s">
        <v>34</v>
      </c>
      <c r="I28" s="8" t="s">
        <v>198</v>
      </c>
      <c r="J28" s="7" t="s">
        <v>132</v>
      </c>
      <c r="K28" s="8" t="s">
        <v>198</v>
      </c>
      <c r="L28" s="7" t="s">
        <v>285</v>
      </c>
      <c r="M28" s="8" t="s">
        <v>198</v>
      </c>
      <c r="N28" s="8"/>
      <c r="O28" s="7" t="s">
        <v>34</v>
      </c>
      <c r="P28" s="64"/>
      <c r="R28" s="84" t="s">
        <v>34</v>
      </c>
      <c r="T28" s="7" t="s">
        <v>34</v>
      </c>
    </row>
    <row r="29" spans="2:20" x14ac:dyDescent="0.25">
      <c r="B29" s="7" t="s">
        <v>84</v>
      </c>
      <c r="C29" s="8" t="s">
        <v>198</v>
      </c>
      <c r="D29" s="7" t="s">
        <v>84</v>
      </c>
      <c r="E29" s="8" t="s">
        <v>198</v>
      </c>
      <c r="F29" s="7" t="s">
        <v>84</v>
      </c>
      <c r="G29" s="8" t="s">
        <v>198</v>
      </c>
      <c r="H29" s="7" t="s">
        <v>84</v>
      </c>
      <c r="I29" s="8" t="s">
        <v>198</v>
      </c>
      <c r="J29" s="7" t="s">
        <v>157</v>
      </c>
      <c r="K29" s="8" t="s">
        <v>198</v>
      </c>
      <c r="L29" s="7" t="s">
        <v>132</v>
      </c>
      <c r="M29" s="8" t="s">
        <v>198</v>
      </c>
      <c r="N29" s="8"/>
      <c r="O29" s="7" t="s">
        <v>84</v>
      </c>
      <c r="P29" s="64"/>
      <c r="R29" s="84" t="s">
        <v>84</v>
      </c>
      <c r="T29" s="7" t="s">
        <v>84</v>
      </c>
    </row>
    <row r="30" spans="2:20" x14ac:dyDescent="0.25">
      <c r="B30" s="7" t="s">
        <v>35</v>
      </c>
      <c r="C30" s="8" t="s">
        <v>198</v>
      </c>
      <c r="D30" s="7" t="s">
        <v>35</v>
      </c>
      <c r="E30" s="8" t="s">
        <v>198</v>
      </c>
      <c r="F30" s="7" t="s">
        <v>35</v>
      </c>
      <c r="G30" s="8" t="s">
        <v>198</v>
      </c>
      <c r="H30" s="7" t="s">
        <v>35</v>
      </c>
      <c r="I30" s="8" t="s">
        <v>198</v>
      </c>
      <c r="J30" s="7" t="str">
        <f>"G00 X"&amp;TEXT((CeilingEndWidth-2+0.25)*mm,"#####.00")&amp;" Y"&amp;TEXT((BaseTopFemaleDX-DiffLength)*mm,"#####.00")</f>
        <v>G00 X254.00 Y2997.20</v>
      </c>
      <c r="K30" s="8" t="s">
        <v>198</v>
      </c>
      <c r="L30" s="7" t="s">
        <v>157</v>
      </c>
      <c r="M30" s="8" t="s">
        <v>198</v>
      </c>
      <c r="N30" s="8"/>
      <c r="O30" s="7" t="s">
        <v>35</v>
      </c>
      <c r="P30" s="64"/>
      <c r="R30" s="84" t="s">
        <v>35</v>
      </c>
      <c r="T30" s="7" t="s">
        <v>35</v>
      </c>
    </row>
    <row r="31" spans="2:20" x14ac:dyDescent="0.25">
      <c r="B31" s="7" t="s">
        <v>85</v>
      </c>
      <c r="C31" s="8" t="s">
        <v>198</v>
      </c>
      <c r="D31" s="7" t="s">
        <v>85</v>
      </c>
      <c r="E31" s="8" t="s">
        <v>198</v>
      </c>
      <c r="F31" s="7" t="s">
        <v>85</v>
      </c>
      <c r="G31" s="8" t="s">
        <v>198</v>
      </c>
      <c r="H31" s="7" t="s">
        <v>85</v>
      </c>
      <c r="I31" s="8" t="s">
        <v>198</v>
      </c>
      <c r="K31" s="8" t="s">
        <v>198</v>
      </c>
      <c r="L31" s="7" t="str">
        <f>"G00 X1350.0 Y"&amp;TEXT((BaseTopFemaleDX-DiffLength)*mm,"#####.00")</f>
        <v>G00 X1350.0 Y2997.20</v>
      </c>
      <c r="M31" s="8" t="s">
        <v>198</v>
      </c>
      <c r="N31" s="8"/>
      <c r="O31" s="7" t="s">
        <v>85</v>
      </c>
      <c r="P31" s="64"/>
      <c r="R31" s="84" t="s">
        <v>85</v>
      </c>
      <c r="T31" s="7" t="s">
        <v>85</v>
      </c>
    </row>
    <row r="32" spans="2:20" x14ac:dyDescent="0.25">
      <c r="B32" s="7" t="s">
        <v>86</v>
      </c>
      <c r="C32" s="8" t="s">
        <v>198</v>
      </c>
      <c r="D32" s="7" t="s">
        <v>86</v>
      </c>
      <c r="E32" s="8" t="s">
        <v>198</v>
      </c>
      <c r="F32" s="7" t="s">
        <v>86</v>
      </c>
      <c r="G32" s="8" t="s">
        <v>198</v>
      </c>
      <c r="H32" s="7" t="s">
        <v>86</v>
      </c>
      <c r="I32" s="8" t="s">
        <v>198</v>
      </c>
      <c r="J32" s="7" t="str">
        <f>"G01 Z"&amp;TEXT(T6Z,"#####.00")&amp;" F2000"</f>
        <v>G01 Z80.65 F2000</v>
      </c>
      <c r="K32" s="8" t="s">
        <v>198</v>
      </c>
      <c r="M32" s="8" t="s">
        <v>198</v>
      </c>
      <c r="N32" s="8"/>
      <c r="O32" s="7" t="s">
        <v>86</v>
      </c>
      <c r="P32" s="64"/>
      <c r="R32" s="84" t="s">
        <v>86</v>
      </c>
      <c r="T32" s="7" t="s">
        <v>86</v>
      </c>
    </row>
    <row r="33" spans="2:20" x14ac:dyDescent="0.25">
      <c r="B33" s="7" t="s">
        <v>87</v>
      </c>
      <c r="C33" s="8" t="s">
        <v>198</v>
      </c>
      <c r="D33" s="7" t="s">
        <v>87</v>
      </c>
      <c r="E33" s="8" t="s">
        <v>198</v>
      </c>
      <c r="F33" s="7" t="s">
        <v>87</v>
      </c>
      <c r="G33" s="8" t="s">
        <v>198</v>
      </c>
      <c r="H33" s="7" t="s">
        <v>87</v>
      </c>
      <c r="I33" s="8" t="s">
        <v>198</v>
      </c>
      <c r="J33" s="7" t="str">
        <f>"G01 X-38.1 F"&amp;T6Feed</f>
        <v>G01 X-38.1 F4250</v>
      </c>
      <c r="K33" s="8" t="s">
        <v>198</v>
      </c>
      <c r="L33" s="7" t="str">
        <f>"G01 Z"&amp;TEXT(T6Z,"#####.00")&amp;" F2000"</f>
        <v>G01 Z80.65 F2000</v>
      </c>
      <c r="M33" s="8" t="s">
        <v>198</v>
      </c>
      <c r="N33" s="8"/>
      <c r="O33" s="7" t="s">
        <v>87</v>
      </c>
      <c r="P33" s="64"/>
      <c r="R33" s="84" t="s">
        <v>87</v>
      </c>
      <c r="T33" s="7" t="s">
        <v>87</v>
      </c>
    </row>
    <row r="34" spans="2:20" x14ac:dyDescent="0.25">
      <c r="B34" s="7" t="s">
        <v>88</v>
      </c>
      <c r="C34" s="8" t="s">
        <v>198</v>
      </c>
      <c r="D34" s="7" t="s">
        <v>88</v>
      </c>
      <c r="E34" s="8" t="s">
        <v>198</v>
      </c>
      <c r="F34" s="7" t="s">
        <v>37</v>
      </c>
      <c r="G34" s="8" t="s">
        <v>198</v>
      </c>
      <c r="H34" s="7" t="s">
        <v>37</v>
      </c>
      <c r="I34" s="8" t="s">
        <v>198</v>
      </c>
      <c r="J34" s="7" t="s">
        <v>197</v>
      </c>
      <c r="K34" s="8" t="s">
        <v>198</v>
      </c>
      <c r="L34" s="62" t="str">
        <f>"G01 X"&amp;TEXT((BaseWidth-CeilingEndWidth+2+0.25)*mm,"#####.00")&amp;" F"&amp;T6Feed</f>
        <v>G01 X939.80 F4250</v>
      </c>
      <c r="M34" s="8" t="s">
        <v>198</v>
      </c>
      <c r="N34" s="8"/>
      <c r="O34" s="7" t="s">
        <v>37</v>
      </c>
      <c r="P34" s="64"/>
      <c r="R34" s="84" t="s">
        <v>37</v>
      </c>
      <c r="T34" s="7" t="s">
        <v>37</v>
      </c>
    </row>
    <row r="35" spans="2:20" x14ac:dyDescent="0.25">
      <c r="B35" s="7" t="str">
        <f>"G01 Z" &amp;TEXT(T8Z,"#####.00") &amp; " F2000"</f>
        <v>G01 Z-31.00 F2000</v>
      </c>
      <c r="C35" s="8" t="s">
        <v>198</v>
      </c>
      <c r="D35" s="7" t="str">
        <f>"G01 Z" &amp;TEXT(T8Z,"#####.00") &amp; " F2000"</f>
        <v>G01 Z-31.00 F2000</v>
      </c>
      <c r="E35" s="8" t="s">
        <v>198</v>
      </c>
      <c r="F35" s="7" t="str">
        <f>"G01 X"&amp;TEXT((BaseMaleDX-DIffWidth+0.125)*mm,"#####.00")&amp;" Z" &amp;TEXT(T8Z,"#####.00") &amp; " F2000"</f>
        <v>G01 X333.38 Z-31.00 F2000</v>
      </c>
      <c r="G35" s="8" t="s">
        <v>198</v>
      </c>
      <c r="H35" s="7" t="str">
        <f>"G01 X"&amp;TEXT((BaseMaleDX-DIffWidth+0.125)*mm,"#####.00")&amp;" Z" &amp;TEXT(T8Z,"#####.00") &amp; " F2000"</f>
        <v>G01 X333.38 Z-31.00 F2000</v>
      </c>
      <c r="I35" s="8" t="s">
        <v>198</v>
      </c>
      <c r="J35" s="62" t="str">
        <f>"G01 X"&amp;TEXT((CeilingEndWidth-2+0.25)*mm,"#####.00")</f>
        <v>G01 X254.00</v>
      </c>
      <c r="K35" s="8" t="s">
        <v>198</v>
      </c>
      <c r="L35" s="7" t="str">
        <f>"G01 Y50.8"</f>
        <v>G01 Y50.8</v>
      </c>
      <c r="M35" s="8" t="s">
        <v>198</v>
      </c>
      <c r="N35" s="8"/>
      <c r="O35" s="59" t="str">
        <f>"G01 X"&amp;TEXT((BaseMaleDX-DIffWidth+0.125)*mm,"#####.00")&amp;" Z" &amp;TEXT(T8Z,"#####.00") &amp; " F2000"</f>
        <v>G01 X333.38 Z-31.00 F2000</v>
      </c>
      <c r="P35" s="64"/>
      <c r="R35" s="84" t="str">
        <f>"G01 X"&amp;TEXT((BaseMaleDX-DIffWidth+0.125)*mm,"#####.00")&amp;" Z" &amp;TEXT(T8Z,"#####.00") &amp; " F2000"</f>
        <v>G01 X333.38 Z-31.00 F2000</v>
      </c>
      <c r="T35" s="7" t="str">
        <f>"G01 X"&amp;TEXT((BaseMaleDX-DIffWidth+0.125)*mm,"#####.00")&amp;" Z" &amp;TEXT(T8Z,"#####.00") &amp; " F2000"</f>
        <v>G01 X333.38 Z-31.00 F2000</v>
      </c>
    </row>
    <row r="36" spans="2:20" x14ac:dyDescent="0.25">
      <c r="B36" s="7" t="s">
        <v>378</v>
      </c>
      <c r="C36" s="8" t="s">
        <v>198</v>
      </c>
      <c r="D36" s="7" t="s">
        <v>378</v>
      </c>
      <c r="E36" s="8" t="s">
        <v>198</v>
      </c>
      <c r="F36" s="7" t="str">
        <f>"G01 Y3100.0 F" &amp;T8Feed</f>
        <v>G01 Y3100.0 F3500</v>
      </c>
      <c r="G36" s="8" t="s">
        <v>198</v>
      </c>
      <c r="H36" s="7" t="str">
        <f>"G01 Y3100.0 F" &amp;T8Feed</f>
        <v>G01 Y3100.0 F3500</v>
      </c>
      <c r="I36" s="8" t="s">
        <v>198</v>
      </c>
      <c r="J36" s="7" t="str">
        <f>"G01 Z"&amp;TEXT(T6Z,"#####.00")&amp;" F2000"</f>
        <v>G01 Z80.65 F2000</v>
      </c>
      <c r="K36" s="8" t="s">
        <v>198</v>
      </c>
      <c r="L36" s="7" t="str">
        <f>"G01 X1350.0"</f>
        <v>G01 X1350.0</v>
      </c>
      <c r="M36" s="8" t="s">
        <v>198</v>
      </c>
      <c r="N36" s="8"/>
      <c r="O36" s="7" t="str">
        <f>"G01 Y3100.0 F" &amp;T8Feed</f>
        <v>G01 Y3100.0 F3500</v>
      </c>
      <c r="P36" s="64"/>
      <c r="R36" s="84" t="str">
        <f>"G01 Y3100.0 F" &amp;T8Feed</f>
        <v>G01 Y3100.0 F3500</v>
      </c>
      <c r="T36" s="7" t="str">
        <f>"G01 Y3100.0 F" &amp;T8Feed</f>
        <v>G01 Y3100.0 F3500</v>
      </c>
    </row>
    <row r="37" spans="2:20" x14ac:dyDescent="0.25">
      <c r="B37" s="7" t="s">
        <v>35</v>
      </c>
      <c r="C37" s="8" t="s">
        <v>198</v>
      </c>
      <c r="D37" s="7" t="s">
        <v>35</v>
      </c>
      <c r="E37" s="8" t="s">
        <v>198</v>
      </c>
      <c r="F37" s="7" t="s">
        <v>38</v>
      </c>
      <c r="G37" s="8" t="s">
        <v>198</v>
      </c>
      <c r="H37" s="7" t="s">
        <v>38</v>
      </c>
      <c r="I37" s="8" t="s">
        <v>198</v>
      </c>
      <c r="J37" s="7" t="str">
        <f>"G01 Y50.8 F"&amp;T6Feed</f>
        <v>G01 Y50.8 F4250</v>
      </c>
      <c r="K37" s="8" t="s">
        <v>198</v>
      </c>
      <c r="M37" s="8" t="s">
        <v>198</v>
      </c>
      <c r="N37" s="8"/>
      <c r="O37" s="7" t="s">
        <v>352</v>
      </c>
      <c r="P37" s="64"/>
      <c r="R37" s="84" t="s">
        <v>352</v>
      </c>
      <c r="T37" s="7" t="s">
        <v>38</v>
      </c>
    </row>
    <row r="38" spans="2:20" x14ac:dyDescent="0.25">
      <c r="B38" s="7" t="str">
        <f>"G01 X1350.0 F" &amp;T8Feed</f>
        <v>G01 X1350.0 F3500</v>
      </c>
      <c r="C38" s="8" t="s">
        <v>198</v>
      </c>
      <c r="D38" s="7" t="str">
        <f>"G01 X1350.0 F" &amp;T8Feed</f>
        <v>G01 X1350.0 F3500</v>
      </c>
      <c r="E38" s="8" t="s">
        <v>198</v>
      </c>
      <c r="G38" s="8" t="s">
        <v>198</v>
      </c>
      <c r="I38" s="8" t="s">
        <v>198</v>
      </c>
      <c r="J38" s="7" t="s">
        <v>197</v>
      </c>
      <c r="K38" s="8" t="s">
        <v>198</v>
      </c>
      <c r="L38" s="7" t="s">
        <v>159</v>
      </c>
      <c r="M38" s="8" t="s">
        <v>198</v>
      </c>
      <c r="N38" s="8"/>
      <c r="O38" s="7" t="s">
        <v>93</v>
      </c>
      <c r="P38" s="64"/>
      <c r="R38" s="84" t="s">
        <v>93</v>
      </c>
    </row>
    <row r="39" spans="2:20" x14ac:dyDescent="0.25">
      <c r="B39" s="7" t="s">
        <v>89</v>
      </c>
      <c r="C39" s="8" t="s">
        <v>198</v>
      </c>
      <c r="D39" s="7" t="s">
        <v>89</v>
      </c>
      <c r="E39" s="8" t="s">
        <v>198</v>
      </c>
      <c r="F39" s="7" t="s">
        <v>31</v>
      </c>
      <c r="G39" s="8" t="s">
        <v>198</v>
      </c>
      <c r="H39" s="7" t="s">
        <v>31</v>
      </c>
      <c r="I39" s="8" t="s">
        <v>198</v>
      </c>
      <c r="J39" s="7" t="str">
        <f>"G01 X-38.1"</f>
        <v>G01 X-38.1</v>
      </c>
      <c r="K39" s="8" t="s">
        <v>198</v>
      </c>
      <c r="L39" s="7" t="s">
        <v>82</v>
      </c>
      <c r="M39" s="8" t="s">
        <v>198</v>
      </c>
      <c r="N39" s="8"/>
      <c r="O39" s="7" t="str" cm="1">
        <f t="array" ref="O39">"G01 Y" &amp;TEXT((BaseMaleDY-DiffHeight)*mm,"#####.00")</f>
        <v>G01 Y3089.66</v>
      </c>
      <c r="P39" s="64"/>
      <c r="R39" s="84" t="str">
        <f>"G01 Y" &amp;TEXT((BaseMaleDY-DiffHeight)*mm,"#####.00")</f>
        <v>G01 Y3089.66</v>
      </c>
      <c r="T39" s="7" t="s">
        <v>31</v>
      </c>
    </row>
    <row r="40" spans="2:20" x14ac:dyDescent="0.25">
      <c r="B40" s="7" t="s">
        <v>37</v>
      </c>
      <c r="C40" s="8" t="s">
        <v>198</v>
      </c>
      <c r="D40" s="7" t="s">
        <v>37</v>
      </c>
      <c r="E40" s="8" t="s">
        <v>198</v>
      </c>
      <c r="F40" s="7" t="s">
        <v>32</v>
      </c>
      <c r="G40" s="8" t="s">
        <v>198</v>
      </c>
      <c r="H40" s="7" t="s">
        <v>32</v>
      </c>
      <c r="I40" s="8" t="s">
        <v>198</v>
      </c>
      <c r="J40" s="7" t="str">
        <f>"G01 Z"&amp;TEXT(T6Z,"#####.00")&amp;" F2000"</f>
        <v>G01 Z80.65 F2000</v>
      </c>
      <c r="K40" s="8" t="s">
        <v>198</v>
      </c>
      <c r="M40" s="8" t="s">
        <v>198</v>
      </c>
      <c r="N40" s="8"/>
      <c r="O40" s="7" t="s">
        <v>96</v>
      </c>
      <c r="P40" s="64"/>
      <c r="R40" s="84" t="s">
        <v>96</v>
      </c>
      <c r="T40" s="7" t="s">
        <v>32</v>
      </c>
    </row>
    <row r="41" spans="2:20" x14ac:dyDescent="0.25">
      <c r="B41" s="7" t="str">
        <f>"G01 X"&amp;TEXT((BaseMaleDX-DIffWidth+0.125)*mm,"#####.00")</f>
        <v>G01 X333.38</v>
      </c>
      <c r="C41" s="8" t="s">
        <v>198</v>
      </c>
      <c r="D41" s="7" t="str">
        <f>"G01 X"&amp;TEXT((BaseMaleDX-DIffWidth+0.125)*mm,"#####.00")</f>
        <v>G01 X333.38</v>
      </c>
      <c r="E41" s="8" t="s">
        <v>198</v>
      </c>
      <c r="F41" s="7" t="s">
        <v>39</v>
      </c>
      <c r="G41" s="8" t="s">
        <v>198</v>
      </c>
      <c r="H41" s="7" t="s">
        <v>39</v>
      </c>
      <c r="I41" s="8" t="s">
        <v>198</v>
      </c>
      <c r="J41" s="62" t="str">
        <f>"G01 X"&amp;TEXT((CeilingEndWidth-2+0.25)*mm,"#####.00")&amp;" F"&amp;T6Feed</f>
        <v>G01 X254.00 F4250</v>
      </c>
      <c r="K41" s="8" t="s">
        <v>198</v>
      </c>
      <c r="L41" s="7" t="s">
        <v>31</v>
      </c>
      <c r="M41" s="8" t="s">
        <v>198</v>
      </c>
      <c r="N41" s="8"/>
      <c r="O41" s="7" t="s">
        <v>84</v>
      </c>
      <c r="P41" s="64"/>
      <c r="R41" s="84" t="s">
        <v>84</v>
      </c>
      <c r="T41" s="7" t="s">
        <v>39</v>
      </c>
    </row>
    <row r="42" spans="2:20" x14ac:dyDescent="0.25">
      <c r="B42" s="7" t="s">
        <v>92</v>
      </c>
      <c r="C42" s="8" t="s">
        <v>198</v>
      </c>
      <c r="D42" s="7" t="s">
        <v>92</v>
      </c>
      <c r="E42" s="8" t="s">
        <v>198</v>
      </c>
      <c r="F42" s="7" t="s">
        <v>83</v>
      </c>
      <c r="G42" s="8" t="s">
        <v>198</v>
      </c>
      <c r="H42" s="7" t="s">
        <v>83</v>
      </c>
      <c r="I42" s="8" t="s">
        <v>198</v>
      </c>
      <c r="K42" s="8" t="s">
        <v>198</v>
      </c>
      <c r="L42" s="7" t="s">
        <v>32</v>
      </c>
      <c r="M42" s="8" t="s">
        <v>198</v>
      </c>
      <c r="N42" s="8"/>
      <c r="O42" s="7" t="s">
        <v>82</v>
      </c>
      <c r="P42" s="64"/>
      <c r="R42" s="84" t="s">
        <v>82</v>
      </c>
      <c r="T42" s="7" t="s">
        <v>83</v>
      </c>
    </row>
    <row r="43" spans="2:20" x14ac:dyDescent="0.25">
      <c r="B43" s="7" t="s">
        <v>93</v>
      </c>
      <c r="C43" s="8" t="s">
        <v>198</v>
      </c>
      <c r="E43" s="8" t="s">
        <v>198</v>
      </c>
      <c r="F43" s="7" t="s">
        <v>40</v>
      </c>
      <c r="G43" s="8" t="s">
        <v>198</v>
      </c>
      <c r="H43" s="7" t="s">
        <v>40</v>
      </c>
      <c r="I43" s="8" t="s">
        <v>198</v>
      </c>
      <c r="J43" s="7" t="s">
        <v>159</v>
      </c>
      <c r="K43" s="8" t="s">
        <v>198</v>
      </c>
      <c r="L43" s="7" t="s">
        <v>39</v>
      </c>
      <c r="M43" s="8" t="s">
        <v>198</v>
      </c>
      <c r="N43" s="8"/>
      <c r="O43" s="7" t="s">
        <v>86</v>
      </c>
      <c r="P43" s="64"/>
      <c r="R43" s="84" t="s">
        <v>86</v>
      </c>
      <c r="T43" s="7" t="s">
        <v>40</v>
      </c>
    </row>
    <row r="44" spans="2:20" x14ac:dyDescent="0.25">
      <c r="B44" s="7" t="str">
        <f>"G01 Y" &amp;TEXT((BaseMaleDY-DiffHeight)*mm,"#####.00")</f>
        <v>G01 Y3089.66</v>
      </c>
      <c r="C44" s="8" t="s">
        <v>198</v>
      </c>
      <c r="E44" s="8" t="s">
        <v>198</v>
      </c>
      <c r="F44" s="7" t="s">
        <v>80</v>
      </c>
      <c r="G44" s="8" t="s">
        <v>198</v>
      </c>
      <c r="H44" s="7" t="s">
        <v>80</v>
      </c>
      <c r="I44" s="8" t="s">
        <v>198</v>
      </c>
      <c r="J44" s="7" t="s">
        <v>82</v>
      </c>
      <c r="K44" s="8" t="s">
        <v>198</v>
      </c>
      <c r="L44" s="7" t="s">
        <v>83</v>
      </c>
      <c r="M44" s="8" t="s">
        <v>198</v>
      </c>
      <c r="N44" s="8"/>
      <c r="O44" s="7" t="s">
        <v>84</v>
      </c>
      <c r="P44" s="64"/>
      <c r="R44" s="84" t="s">
        <v>84</v>
      </c>
      <c r="T44" s="7" t="s">
        <v>80</v>
      </c>
    </row>
    <row r="45" spans="2:20" x14ac:dyDescent="0.25">
      <c r="B45" s="7" t="s">
        <v>96</v>
      </c>
      <c r="C45" s="8" t="s">
        <v>198</v>
      </c>
      <c r="E45" s="8" t="s">
        <v>198</v>
      </c>
      <c r="F45" s="7" t="s">
        <v>98</v>
      </c>
      <c r="G45" s="8" t="s">
        <v>198</v>
      </c>
      <c r="H45" s="7" t="s">
        <v>98</v>
      </c>
      <c r="I45" s="8" t="s">
        <v>198</v>
      </c>
      <c r="K45" s="8" t="s">
        <v>198</v>
      </c>
      <c r="L45" s="7" t="s">
        <v>40</v>
      </c>
      <c r="M45" s="8" t="s">
        <v>198</v>
      </c>
      <c r="N45" s="8"/>
      <c r="P45" s="64"/>
      <c r="R45" s="84"/>
      <c r="T45" s="7" t="s">
        <v>98</v>
      </c>
    </row>
    <row r="46" spans="2:20" x14ac:dyDescent="0.25">
      <c r="B46" s="7" t="s">
        <v>84</v>
      </c>
      <c r="C46" s="8" t="s">
        <v>198</v>
      </c>
      <c r="D46" s="7" t="s">
        <v>84</v>
      </c>
      <c r="E46" s="8" t="s">
        <v>198</v>
      </c>
      <c r="G46" s="8" t="s">
        <v>198</v>
      </c>
      <c r="I46" s="8" t="s">
        <v>198</v>
      </c>
      <c r="J46" s="7" t="s">
        <v>31</v>
      </c>
      <c r="K46" s="8" t="s">
        <v>198</v>
      </c>
      <c r="L46" s="7" t="s">
        <v>80</v>
      </c>
      <c r="M46" s="8" t="s">
        <v>198</v>
      </c>
      <c r="N46" s="8"/>
      <c r="P46" s="64"/>
      <c r="R46" s="7" t="s">
        <v>31</v>
      </c>
    </row>
    <row r="47" spans="2:20" x14ac:dyDescent="0.25">
      <c r="B47" s="7" t="s">
        <v>82</v>
      </c>
      <c r="C47" s="8" t="s">
        <v>198</v>
      </c>
      <c r="D47" s="7" t="s">
        <v>82</v>
      </c>
      <c r="E47" s="8" t="s">
        <v>198</v>
      </c>
      <c r="F47" s="7" t="s">
        <v>97</v>
      </c>
      <c r="G47" s="8" t="s">
        <v>198</v>
      </c>
      <c r="H47" s="7" t="s">
        <v>97</v>
      </c>
      <c r="I47" s="8" t="s">
        <v>198</v>
      </c>
      <c r="J47" s="7" t="s">
        <v>32</v>
      </c>
      <c r="K47" s="8" t="s">
        <v>198</v>
      </c>
      <c r="L47" s="7" t="str">
        <f>"G00 X" &amp; TEXT((BaseDXVPocket)*mm,"#####.00")</f>
        <v>G00 X1209.04</v>
      </c>
      <c r="M47" s="8" t="s">
        <v>198</v>
      </c>
      <c r="N47" s="8"/>
      <c r="O47" s="7" t="s">
        <v>31</v>
      </c>
      <c r="P47" s="64"/>
      <c r="R47" s="7" t="s">
        <v>32</v>
      </c>
      <c r="T47" s="7" t="s">
        <v>97</v>
      </c>
    </row>
    <row r="48" spans="2:20" x14ac:dyDescent="0.25">
      <c r="B48" s="7" t="s">
        <v>86</v>
      </c>
      <c r="C48" s="8" t="s">
        <v>198</v>
      </c>
      <c r="D48" s="7" t="s">
        <v>86</v>
      </c>
      <c r="E48" s="8" t="s">
        <v>198</v>
      </c>
      <c r="F48" s="7" t="str">
        <f>IF(VPocket_Y7=0,"","G00 X-15.0 Y" &amp; TEXT((VPocket_Y7+MaleOffset)*mm,"#####.00")&amp;CHAR(10)&amp;s_X0VPocket)</f>
        <v/>
      </c>
      <c r="G48" s="8" t="s">
        <v>198</v>
      </c>
      <c r="H48" s="7" t="str">
        <f>IF(VPocket_Y7=0,"","G00 X-15.0 Y" &amp; TEXT((VPocket_Y7+MaleOffset)*mm,"#####.00")&amp;CHAR(10)&amp;s_X0VPocket)</f>
        <v/>
      </c>
      <c r="I48" s="8" t="s">
        <v>198</v>
      </c>
      <c r="J48" s="7" t="s">
        <v>39</v>
      </c>
      <c r="K48" s="8" t="s">
        <v>198</v>
      </c>
      <c r="M48" s="8" t="s">
        <v>198</v>
      </c>
      <c r="N48" s="8"/>
      <c r="O48" s="7" t="s">
        <v>131</v>
      </c>
      <c r="P48" s="64"/>
      <c r="R48" s="7" t="s">
        <v>39</v>
      </c>
      <c r="T48" s="7" t="str">
        <f>IF(VPocket_Y7=0,"","G00 X-15.0 Y" &amp; TEXT((VPocket_Y7+MaleOffset)*mm,"#####.00")&amp;CHAR(10)&amp;s_X0VPocket)</f>
        <v/>
      </c>
    </row>
    <row r="49" spans="2:20" x14ac:dyDescent="0.25">
      <c r="B49" s="7" t="s">
        <v>84</v>
      </c>
      <c r="C49" s="8" t="s">
        <v>198</v>
      </c>
      <c r="E49" s="8" t="s">
        <v>198</v>
      </c>
      <c r="F49" s="7" t="s">
        <v>99</v>
      </c>
      <c r="G49" s="8" t="s">
        <v>198</v>
      </c>
      <c r="H49" s="7" t="s">
        <v>99</v>
      </c>
      <c r="I49" s="8" t="s">
        <v>198</v>
      </c>
      <c r="J49" s="7" t="s">
        <v>83</v>
      </c>
      <c r="K49" s="8" t="s">
        <v>198</v>
      </c>
      <c r="L49" s="7" t="s">
        <v>115</v>
      </c>
      <c r="M49" s="8" t="s">
        <v>198</v>
      </c>
      <c r="N49" s="8"/>
      <c r="O49" s="7" t="s">
        <v>285</v>
      </c>
      <c r="P49" s="64"/>
      <c r="R49" s="7" t="str">
        <f>"G00 G90 G54 M3 S"&amp;T5RPMs</f>
        <v>G00 G90 G54 M3 S9000</v>
      </c>
      <c r="T49" s="7" t="s">
        <v>99</v>
      </c>
    </row>
    <row r="50" spans="2:20" x14ac:dyDescent="0.25">
      <c r="C50" s="8" t="s">
        <v>198</v>
      </c>
      <c r="E50" s="8" t="s">
        <v>198</v>
      </c>
      <c r="F50" s="7" t="str">
        <f>IF(VPocket_Y6=0,"","G00 X-15.0 Y" &amp; TEXT((VPocket_Y6+MaleOffset-0.5)*mm,"#####.00")&amp;CHAR(10)&amp;s_X0VPocket)</f>
        <v>G00 X-15.0 Y2793.13
(&gt;&gt;&gt;SUB X0VPocket)
G91
G01 Y-42.0  Z-50.8 F2500
X52.46
Y84.0
X-52.46
G90
G00 Z50.0
G00 X-25.0
(&lt;&lt;&lt;SUB X0VPocket)</v>
      </c>
      <c r="G50" s="8" t="s">
        <v>198</v>
      </c>
      <c r="H50" s="7" t="str">
        <f>IF(VPocket_Y6=0,"","G00 X-15.0 Y" &amp; TEXT((VPocket_Y6+MaleOffset-0.5)*mm,"#####.00")&amp;CHAR(10)&amp;s_X0VPocket)</f>
        <v>G00 X-15.0 Y2793.13
(&gt;&gt;&gt;SUB X0VPocket)
G91
G01 Y-42.0  Z-50.8 F2500
X52.46
Y84.0
X-52.46
G90
G00 Z50.0
G00 X-25.0
(&lt;&lt;&lt;SUB X0VPocket)</v>
      </c>
      <c r="I50" s="8" t="s">
        <v>198</v>
      </c>
      <c r="J50" s="7" t="s">
        <v>40</v>
      </c>
      <c r="K50" s="8" t="s">
        <v>198</v>
      </c>
      <c r="L50" s="7" t="str">
        <f>IF(VPocket_Y7=0,"","G00 X" &amp; TEXT((BaseDXVPocket)*mm,"#####.00")&amp;" Y" &amp; TEXT((VPocket_Y7+MaleOffset+0.125)*mm,"#####.00")&amp;CHAR(10)&amp;s_DXVPocket)</f>
        <v/>
      </c>
      <c r="M50" s="8" t="s">
        <v>198</v>
      </c>
      <c r="N50" s="8"/>
      <c r="O50" s="7" t="s">
        <v>132</v>
      </c>
      <c r="P50" s="64"/>
      <c r="R50" s="7" t="s">
        <v>40</v>
      </c>
      <c r="T50" s="7" t="str">
        <f>IF(VPocket_Y6=0,"","G00 X-15.0 Y" &amp; TEXT((VPocket_Y6+MaleOffset)*mm,"#####.00")&amp;CHAR(10)&amp;s_X0VPocket)</f>
        <v>G00 X-15.0 Y2805.83
(&gt;&gt;&gt;SUB X0VPocket)
G91
G01 Y-42.0  Z-50.8 F2500
X52.46
Y84.0
X-52.46
G90
G00 Z50.0
G00 X-25.0
(&lt;&lt;&lt;SUB X0VPocket)</v>
      </c>
    </row>
    <row r="51" spans="2:20" x14ac:dyDescent="0.25">
      <c r="B51" s="7" t="s">
        <v>31</v>
      </c>
      <c r="C51" s="8" t="s">
        <v>198</v>
      </c>
      <c r="D51" s="7" t="s">
        <v>31</v>
      </c>
      <c r="E51" s="8" t="s">
        <v>198</v>
      </c>
      <c r="F51" s="7" t="s">
        <v>100</v>
      </c>
      <c r="G51" s="8" t="s">
        <v>198</v>
      </c>
      <c r="H51" s="7" t="s">
        <v>100</v>
      </c>
      <c r="I51" s="8" t="s">
        <v>198</v>
      </c>
      <c r="J51" s="7" t="s">
        <v>80</v>
      </c>
      <c r="K51" s="8" t="s">
        <v>198</v>
      </c>
      <c r="L51" s="7" t="s">
        <v>114</v>
      </c>
      <c r="M51" s="8" t="s">
        <v>198</v>
      </c>
      <c r="N51" s="8"/>
      <c r="O51" s="7" t="s">
        <v>157</v>
      </c>
      <c r="P51" s="64"/>
      <c r="R51" s="7" t="s">
        <v>80</v>
      </c>
      <c r="T51" s="7" t="s">
        <v>100</v>
      </c>
    </row>
    <row r="52" spans="2:20" x14ac:dyDescent="0.25">
      <c r="B52" s="7" t="s">
        <v>32</v>
      </c>
      <c r="C52" s="8" t="s">
        <v>198</v>
      </c>
      <c r="D52" s="7" t="s">
        <v>32</v>
      </c>
      <c r="E52" s="8" t="s">
        <v>198</v>
      </c>
      <c r="F52" s="7" t="str">
        <f>IF(VPocket_Y5=0,"","G00 X-15.0 Y" &amp; TEXT((VPocket_Y5+MaleOffset)*mm,"#####.00")&amp;CHAR(10)&amp;s_X0VPocket)</f>
        <v/>
      </c>
      <c r="G52" s="8" t="s">
        <v>198</v>
      </c>
      <c r="H52" s="7" t="str">
        <f>IF(VPocket_Y5=0,"","G00 X-15.0 Y" &amp; TEXT((VPocket_Y5+MaleOffset)*mm,"#####.00")&amp;CHAR(10)&amp;s_X0VPocket)</f>
        <v/>
      </c>
      <c r="I52" s="8" t="s">
        <v>198</v>
      </c>
      <c r="J52" s="7" t="s">
        <v>98</v>
      </c>
      <c r="K52" s="8" t="s">
        <v>198</v>
      </c>
      <c r="L52" s="7" t="str">
        <f>IF(VPocket_Y6=0,"","G00 X" &amp; TEXT((BaseDXVPocket+0.25)*mm,"#####.00")&amp;" Y" &amp; TEXT((VPocket_Y6+MaleOffset)*mm,"#####.00")&amp;CHAR(10)&amp;s_DXVPocket)</f>
        <v>G00 X1215.39 Y2805.83
(&gt;&gt;&gt;SUB DXVPocket)
G91
G01 Y42.0 Z-50.8 F2500
X-42
Y-86.0
X42
Y86 
G90
G00Z50.0
(&lt;&lt;&lt;SUB DXVPocket)</v>
      </c>
      <c r="M52" s="8" t="s">
        <v>198</v>
      </c>
      <c r="N52" s="8"/>
      <c r="O52" s="7" t="str">
        <f>"G00 X"&amp;TEXT((Width+0.25)*mm,"#####.00")&amp;" Y"&amp;TEXT((BaseTopFemaleDX-DiffLength)*mm,"#####.00")</f>
        <v>G00 X304.80 Y2997.20</v>
      </c>
      <c r="P52" s="64"/>
      <c r="R52" s="7" t="s">
        <v>98</v>
      </c>
      <c r="T52" s="7" t="str">
        <f>IF(VPocket_Y5=0,"","G00 X-15.0 Y" &amp; TEXT((VPocket_Y5+MaleOffset)*mm,"#####.00")&amp;CHAR(10)&amp;s_X0VPocket)</f>
        <v/>
      </c>
    </row>
    <row r="53" spans="2:20" x14ac:dyDescent="0.25">
      <c r="B53" s="7" t="s">
        <v>39</v>
      </c>
      <c r="C53" s="8" t="s">
        <v>198</v>
      </c>
      <c r="D53" s="7" t="s">
        <v>39</v>
      </c>
      <c r="E53" s="8" t="s">
        <v>198</v>
      </c>
      <c r="F53" s="7" t="s">
        <v>102</v>
      </c>
      <c r="G53" s="8" t="s">
        <v>198</v>
      </c>
      <c r="H53" s="7" t="s">
        <v>102</v>
      </c>
      <c r="I53" s="8" t="s">
        <v>198</v>
      </c>
      <c r="K53" s="8" t="s">
        <v>198</v>
      </c>
      <c r="L53" s="7" t="s">
        <v>113</v>
      </c>
      <c r="M53" s="8" t="s">
        <v>198</v>
      </c>
      <c r="N53" s="8"/>
      <c r="P53" s="64"/>
      <c r="T53" s="7" t="s">
        <v>102</v>
      </c>
    </row>
    <row r="54" spans="2:20" x14ac:dyDescent="0.25">
      <c r="B54" s="7" t="str">
        <f>"G00 G90 G54 M3 S"&amp;T5RPMs</f>
        <v>G00 G90 G54 M3 S9000</v>
      </c>
      <c r="C54" s="8" t="s">
        <v>198</v>
      </c>
      <c r="D54" s="7" t="s">
        <v>83</v>
      </c>
      <c r="E54" s="8" t="s">
        <v>198</v>
      </c>
      <c r="F54" s="7" t="str">
        <f>IF(VPocket_Y4=0,"","G00 X-15.0 Y" &amp; TEXT((VPocket_Y4+MaleOffset)*mm,"#####.00")&amp;CHAR(10)&amp;s_X0VPocket)</f>
        <v>G00 X-15.0 Y1535.83
(&gt;&gt;&gt;SUB X0VPocket)
G91
G01 Y-42.0  Z-50.8 F2500
X52.46
Y84.0
X-52.46
G90
G00 Z50.0
G00 X-25.0
(&lt;&lt;&lt;SUB X0VPocket)</v>
      </c>
      <c r="G54" s="8" t="s">
        <v>198</v>
      </c>
      <c r="H54" s="7" t="str">
        <f>IF(VPocket_Y4=0,"","G00 X-15.0 Y" &amp; TEXT((VPocket_Y4+MaleOffset)*mm,"#####.00")&amp;CHAR(10)&amp;s_X0VPocket)</f>
        <v>G00 X-15.0 Y1535.83
(&gt;&gt;&gt;SUB X0VPocket)
G91
G01 Y-42.0  Z-50.8 F2500
X52.46
Y84.0
X-52.46
G90
G00 Z50.0
G00 X-25.0
(&lt;&lt;&lt;SUB X0VPocket)</v>
      </c>
      <c r="I54" s="8" t="s">
        <v>198</v>
      </c>
      <c r="J54" s="7" t="s">
        <v>97</v>
      </c>
      <c r="K54" s="8" t="s">
        <v>198</v>
      </c>
      <c r="L54" s="7" t="str">
        <f>IF(VPocket_Y5=0,"","G00 X" &amp; TEXT((BaseDXVPocket)*mm,"#####.00")&amp;" Y" &amp; TEXT((VPocket_Y5+MaleOffset)*mm,"#####.00")&amp;CHAR(10)&amp;s_DXVPocket)</f>
        <v/>
      </c>
      <c r="M54" s="8" t="s">
        <v>198</v>
      </c>
      <c r="N54" s="8"/>
      <c r="O54" s="7" t="str">
        <f>"G01 Z"&amp;TEXT(T6Z,"#####.00")&amp;" F2000"</f>
        <v>G01 Z80.65 F2000</v>
      </c>
      <c r="P54" s="64"/>
      <c r="R54" s="7" t="s">
        <v>97</v>
      </c>
      <c r="T54" s="7" t="str">
        <f>IF(VPocket_Y4=0,"","G00 X-15.0 Y" &amp; TEXT((VPocket_Y4+MaleOffset)*mm,"#####.00")&amp;CHAR(10)&amp;s_X0VPocket)</f>
        <v>G00 X-15.0 Y1535.83
(&gt;&gt;&gt;SUB X0VPocket)
G91
G01 Y-42.0  Z-50.8 F2500
X52.46
Y84.0
X-52.46
G90
G00 Z50.0
G00 X-25.0
(&lt;&lt;&lt;SUB X0VPocket)</v>
      </c>
    </row>
    <row r="55" spans="2:20" x14ac:dyDescent="0.25">
      <c r="B55" s="7" t="s">
        <v>40</v>
      </c>
      <c r="C55" s="8" t="s">
        <v>198</v>
      </c>
      <c r="D55" s="7" t="s">
        <v>40</v>
      </c>
      <c r="E55" s="8" t="s">
        <v>198</v>
      </c>
      <c r="F55" s="7" t="s">
        <v>103</v>
      </c>
      <c r="G55" s="8" t="s">
        <v>198</v>
      </c>
      <c r="H55" s="7" t="s">
        <v>103</v>
      </c>
      <c r="I55" s="8" t="s">
        <v>198</v>
      </c>
      <c r="J55" s="7" t="str">
        <f>IF(VPocket_Y7=0,"","G00 X-15.0 Y" &amp; TEXT((VPocket_Y7+MaleOffset)*mm,"#####.00")&amp;CHAR(10)&amp;s_X0VPocket)</f>
        <v/>
      </c>
      <c r="K55" s="8" t="s">
        <v>198</v>
      </c>
      <c r="L55" s="7" t="s">
        <v>112</v>
      </c>
      <c r="M55" s="8" t="s">
        <v>198</v>
      </c>
      <c r="N55" s="8"/>
      <c r="O55" s="7" t="str">
        <f>"G01 X-38.1 F"&amp;T6Feed</f>
        <v>G01 X-38.1 F4250</v>
      </c>
      <c r="P55" s="64"/>
      <c r="R55" s="7" t="str">
        <f>IF(VPocket_Y7=0,"","G00 X-15.0 Y" &amp; TEXT((VPocket_Y7+MaleOffset)*mm,"#####.00")&amp;CHAR(10)&amp;s_X0VPocket)</f>
        <v/>
      </c>
      <c r="T55" s="7" t="s">
        <v>103</v>
      </c>
    </row>
    <row r="56" spans="2:20" x14ac:dyDescent="0.25">
      <c r="B56" s="7" t="s">
        <v>80</v>
      </c>
      <c r="C56" s="8" t="s">
        <v>198</v>
      </c>
      <c r="D56" s="7" t="s">
        <v>80</v>
      </c>
      <c r="E56" s="8" t="s">
        <v>198</v>
      </c>
      <c r="F56" s="7" t="str">
        <f>IF(VPocket_Y3=0,"","G00 X-15.0 Y" &amp; TEXT((VPocket_Y3+MaleOffset)*mm,"#####.00")&amp;CHAR(10)&amp;s_X0VPocket)</f>
        <v/>
      </c>
      <c r="G56" s="8" t="s">
        <v>198</v>
      </c>
      <c r="H56" s="7" t="str">
        <f>IF(VPocket_Y3=0,"","G00 X-15.0 Y" &amp; TEXT((VPocket_Y3+MaleOffset)*mm,"#####.00")&amp;CHAR(10)&amp;s_X0VPocket)</f>
        <v/>
      </c>
      <c r="I56" s="8" t="s">
        <v>198</v>
      </c>
      <c r="J56" s="7" t="s">
        <v>99</v>
      </c>
      <c r="K56" s="8" t="s">
        <v>198</v>
      </c>
      <c r="L56" s="7" t="str">
        <f>IF(VPocket_Y4=0,"","G00 X" &amp; TEXT((BaseDXVPocket+0.25)*mm,"#####.00")&amp;" Y" &amp; TEXT((VPocket_Y4+MaleOffset)*mm,"#####.00")&amp;CHAR(10)&amp;s_DXVPocket)</f>
        <v>G00 X1215.39 Y1535.83
(&gt;&gt;&gt;SUB DXVPocket)
G91
G01 Y42.0 Z-50.8 F2500
X-42
Y-86.0
X42
Y86 
G90
G00Z50.0
(&lt;&lt;&lt;SUB DXVPocket)</v>
      </c>
      <c r="M56" s="8" t="s">
        <v>198</v>
      </c>
      <c r="N56" s="8"/>
      <c r="O56" s="7" t="s">
        <v>158</v>
      </c>
      <c r="P56" s="64"/>
      <c r="R56" s="7" t="s">
        <v>99</v>
      </c>
      <c r="T56" s="7" t="str">
        <f>IF(VPocket_Y3=0,"","G00 X-15.0 Y" &amp; TEXT((VPocket_Y3+MaleOffset)*mm,"#####.00")&amp;CHAR(10)&amp;s_X0VPocket)</f>
        <v/>
      </c>
    </row>
    <row r="57" spans="2:20" x14ac:dyDescent="0.25">
      <c r="B57" s="7" t="s">
        <v>98</v>
      </c>
      <c r="C57" s="8" t="s">
        <v>198</v>
      </c>
      <c r="D57" s="7" t="s">
        <v>98</v>
      </c>
      <c r="E57" s="8" t="s">
        <v>198</v>
      </c>
      <c r="F57" s="7" t="s">
        <v>104</v>
      </c>
      <c r="G57" s="8" t="s">
        <v>198</v>
      </c>
      <c r="H57" s="7" t="s">
        <v>104</v>
      </c>
      <c r="I57" s="8" t="s">
        <v>198</v>
      </c>
      <c r="J57" s="7" t="str">
        <f>IF(VPocket_Y6=0,"","G00 X-15.0 Y" &amp; TEXT((VPocket_Y6+MaleOffset)*mm,"#####.00")&amp;CHAR(10)&amp;s_X0VPocket)</f>
        <v>G00 X-15.0 Y2805.83
(&gt;&gt;&gt;SUB X0VPocket)
G91
G01 Y-42.0  Z-50.8 F2500
X52.46
Y84.0
X-52.46
G90
G00 Z50.0
G00 X-25.0
(&lt;&lt;&lt;SUB X0VPocket)</v>
      </c>
      <c r="K57" s="8" t="s">
        <v>198</v>
      </c>
      <c r="L57" s="7" t="s">
        <v>111</v>
      </c>
      <c r="M57" s="8" t="s">
        <v>198</v>
      </c>
      <c r="N57" s="8"/>
      <c r="O57" s="7" t="str">
        <f>"G01 X301.625 F"&amp;T6Feed</f>
        <v>G01 X301.625 F4250</v>
      </c>
      <c r="P57" s="64"/>
      <c r="R57" s="7" t="str">
        <f>IF(VPocket_Y6=0,"","G00 X-15.0 Y" &amp; TEXT((VPocket_Y6+MaleOffset)*mm,"#####.00")&amp;CHAR(10)&amp;s_X0VPocket)</f>
        <v>G00 X-15.0 Y2805.83
(&gt;&gt;&gt;SUB X0VPocket)
G91
G01 Y-42.0  Z-50.8 F2500
X52.46
Y84.0
X-52.46
G90
G00 Z50.0
G00 X-25.0
(&lt;&lt;&lt;SUB X0VPocket)</v>
      </c>
      <c r="T57" s="7" t="s">
        <v>104</v>
      </c>
    </row>
    <row r="58" spans="2:20" x14ac:dyDescent="0.25">
      <c r="C58" s="8" t="s">
        <v>198</v>
      </c>
      <c r="E58" s="8" t="s">
        <v>198</v>
      </c>
      <c r="F58" s="7" t="str">
        <f>IF(VPocket_Y2=0,"","G00 X-15.0 Y" &amp; TEXT((VPocket_Y2+MaleOffset-0.5)*mm,"#####.00")&amp;CHAR(10)&amp;s_X0VPocket)</f>
        <v>G00 X-15.0 Y253.13
(&gt;&gt;&gt;SUB X0VPocket)
G91
G01 Y-42.0  Z-50.8 F2500
X52.46
Y84.0
X-52.46
G90
G00 Z50.0
G00 X-25.0
(&lt;&lt;&lt;SUB X0VPocket)</v>
      </c>
      <c r="G58" s="8" t="s">
        <v>198</v>
      </c>
      <c r="H58" s="7" t="str">
        <f>IF(VPocket_Y2=0,"","G00 X-15.0 Y" &amp; TEXT((VPocket_Y2+MaleOffset-0.5)*mm,"#####.00")&amp;CHAR(10)&amp;s_X0VPocket)</f>
        <v>G00 X-15.0 Y253.13
(&gt;&gt;&gt;SUB X0VPocket)
G91
G01 Y-42.0  Z-50.8 F2500
X52.46
Y84.0
X-52.46
G90
G00 Z50.0
G00 X-25.0
(&lt;&lt;&lt;SUB X0VPocket)</v>
      </c>
      <c r="I58" s="8" t="s">
        <v>198</v>
      </c>
      <c r="J58" s="7" t="s">
        <v>100</v>
      </c>
      <c r="K58" s="8" t="s">
        <v>198</v>
      </c>
      <c r="L58" s="7" t="str">
        <f>IF(VPocket_Y3=0,"","G00 X" &amp; TEXT((BaseDXVPocket)*mm,"#####.00")&amp;" Y" &amp; TEXT((VPocket_Y3+MaleOffset)*mm,"#####.00")&amp;CHAR(10)&amp;s_DXVPocket)</f>
        <v/>
      </c>
      <c r="M58" s="8" t="s">
        <v>198</v>
      </c>
      <c r="N58" s="8"/>
      <c r="O58" s="7" t="str">
        <f>"G01 Z"&amp;TEXT(T6Z,"#####.00")&amp;" F2000"</f>
        <v>G01 Z80.65 F2000</v>
      </c>
      <c r="P58" s="64"/>
      <c r="R58" s="7" t="s">
        <v>100</v>
      </c>
      <c r="T58" s="7" t="str">
        <f>IF(VPocket_Y2=0,"","G00 X-15.0 Y" &amp; TEXT((VPocket_Y2+MaleOffset)*mm,"#####.00")&amp;CHAR(10)&amp;s_X0VPocket)</f>
        <v>G00 X-15.0 Y265.83
(&gt;&gt;&gt;SUB X0VPocket)
G91
G01 Y-42.0  Z-50.8 F2500
X52.46
Y84.0
X-52.46
G90
G00 Z50.0
G00 X-25.0
(&lt;&lt;&lt;SUB X0VPocket)</v>
      </c>
    </row>
    <row r="59" spans="2:20" x14ac:dyDescent="0.25">
      <c r="B59" s="7" t="s">
        <v>97</v>
      </c>
      <c r="C59" s="8" t="s">
        <v>198</v>
      </c>
      <c r="D59" s="7" t="s">
        <v>97</v>
      </c>
      <c r="E59" s="8" t="s">
        <v>198</v>
      </c>
      <c r="F59" s="7" t="s">
        <v>105</v>
      </c>
      <c r="G59" s="8" t="s">
        <v>198</v>
      </c>
      <c r="H59" s="7" t="s">
        <v>105</v>
      </c>
      <c r="I59" s="8" t="s">
        <v>198</v>
      </c>
      <c r="J59" s="7" t="str">
        <f>IF(VPocket_Y5=0,"","G00 X-15.0 Y" &amp; TEXT((VPocket_Y5+MaleOffset)*mm,"#####.00")&amp;CHAR(10)&amp;s_X0VPocket)</f>
        <v/>
      </c>
      <c r="K59" s="8" t="s">
        <v>198</v>
      </c>
      <c r="L59" s="7" t="s">
        <v>110</v>
      </c>
      <c r="M59" s="8" t="s">
        <v>198</v>
      </c>
      <c r="N59" s="8"/>
      <c r="O59" s="7" t="str">
        <f>"G01 Y0 F"&amp;T6Feed</f>
        <v>G01 Y0 F4250</v>
      </c>
      <c r="P59" s="64"/>
      <c r="R59" s="7" t="str">
        <f>IF(VPocket_Y5=0,"","G00 X-15.0 Y" &amp; TEXT((VPocket_Y5+MaleOffset)*mm,"#####.00")&amp;CHAR(10)&amp;s_X0VPocket)</f>
        <v/>
      </c>
      <c r="T59" s="7" t="s">
        <v>105</v>
      </c>
    </row>
    <row r="60" spans="2:20" x14ac:dyDescent="0.25">
      <c r="B60" s="7" t="str">
        <f>IF(VPocket_Y7=0,"","G00 X-15.0 Y" &amp; TEXT((VPocket_Y7+MaleOffset+0.625)*mm,"#####.00")&amp;CHAR(10)&amp;s_X0VPocket)</f>
        <v/>
      </c>
      <c r="C60" s="8" t="s">
        <v>198</v>
      </c>
      <c r="D60" s="7" t="str">
        <f>IF(VPocket_Y7=0,"","G00 X-15.0 Y" &amp; TEXT((VPocket_Y7+MaleOffset)*mm,"#####.00")&amp;CHAR(10)&amp;s_X0VPocket)</f>
        <v/>
      </c>
      <c r="E60" s="8" t="s">
        <v>198</v>
      </c>
      <c r="F60" s="7" t="str">
        <f>IF(VPocket_Y1=0,"","G00 X-15.0 Y" &amp; TEXT((VPocket_Y1+MaleOffset)*mm,"#####.00")&amp;CHAR(10)&amp;s_X0VPocket)</f>
        <v/>
      </c>
      <c r="G60" s="8" t="s">
        <v>198</v>
      </c>
      <c r="H60" s="7" t="str">
        <f>IF(VPocket_Y1=0,"","G00 X-15.0 Y" &amp; TEXT((VPocket_Y1+MaleOffset)*mm,"#####.00")&amp;CHAR(10)&amp;s_X0VPocket)</f>
        <v/>
      </c>
      <c r="I60" s="8" t="s">
        <v>198</v>
      </c>
      <c r="J60" s="7" t="s">
        <v>102</v>
      </c>
      <c r="K60" s="8" t="s">
        <v>198</v>
      </c>
      <c r="L60" s="7" t="str">
        <f>IF(VPocket_Y2=0,"","G00 X" &amp; TEXT((BaseDXVPocket+0.25)*mm,"#####.00")&amp;" Y" &amp; TEXT((VPocket_Y2+MaleOffset-0.05)*mm,"#####.00")&amp;CHAR(10)&amp;s_DXVPocket)</f>
        <v>G00 X1215.39 Y264.56
(&gt;&gt;&gt;SUB DXVPocket)
G91
G01 Y42.0 Z-50.8 F2500
X-42
Y-86.0
X42
Y86 
G90
G00Z50.0
(&lt;&lt;&lt;SUB DXVPocket)</v>
      </c>
      <c r="M60" s="8" t="s">
        <v>198</v>
      </c>
      <c r="N60" s="8"/>
      <c r="O60" s="7" t="s">
        <v>158</v>
      </c>
      <c r="P60" s="64"/>
      <c r="R60" s="7" t="s">
        <v>102</v>
      </c>
      <c r="T60" s="7" t="str">
        <f>IF(VPocket_Y1=0,"","G00 X-15.0 Y" &amp; TEXT((VPocket_Y1+MaleOffset)*mm,"#####.00")&amp;CHAR(10)&amp;s_X0VPocket)</f>
        <v/>
      </c>
    </row>
    <row r="61" spans="2:20" x14ac:dyDescent="0.25">
      <c r="B61" s="7" t="s">
        <v>99</v>
      </c>
      <c r="C61" s="8" t="s">
        <v>198</v>
      </c>
      <c r="D61" s="7" t="s">
        <v>99</v>
      </c>
      <c r="E61" s="8" t="s">
        <v>198</v>
      </c>
      <c r="G61" s="8" t="s">
        <v>198</v>
      </c>
      <c r="I61" s="8" t="s">
        <v>198</v>
      </c>
      <c r="J61" s="7" t="str">
        <f>IF(VPocket_Y4=0,"","G00 X-15.0 Y" &amp; TEXT((VPocket_Y4+MaleOffset)*mm,"#####.00")&amp;CHAR(10)&amp;s_X0VPocket)</f>
        <v>G00 X-15.0 Y1535.83
(&gt;&gt;&gt;SUB X0VPocket)
G91
G01 Y-42.0  Z-50.8 F2500
X52.46
Y84.0
X-52.46
G90
G00 Z50.0
G00 X-25.0
(&lt;&lt;&lt;SUB X0VPocket)</v>
      </c>
      <c r="K61" s="8" t="s">
        <v>198</v>
      </c>
      <c r="L61" s="7" t="s">
        <v>109</v>
      </c>
      <c r="M61" s="8" t="s">
        <v>198</v>
      </c>
      <c r="N61" s="8"/>
      <c r="O61" s="7" t="str">
        <f>"G01 X-38.1 F"&amp;T6Feed</f>
        <v>G01 X-38.1 F4250</v>
      </c>
      <c r="P61" s="64"/>
      <c r="R61" s="7" t="str">
        <f>IF(VPocket_Y4=0,"","G00 X-15.0 Y" &amp; TEXT((VPocket_Y4+MaleOffset)*mm,"#####.00")&amp;CHAR(10)&amp;s_X0VPocket)</f>
        <v>G00 X-15.0 Y1535.83
(&gt;&gt;&gt;SUB X0VPocket)
G91
G01 Y-42.0  Z-50.8 F2500
X52.46
Y84.0
X-52.46
G90
G00 Z50.0
G00 X-25.0
(&lt;&lt;&lt;SUB X0VPocket)</v>
      </c>
    </row>
    <row r="62" spans="2:20" x14ac:dyDescent="0.25">
      <c r="B62" s="7" t="str">
        <f>IF(VPocket_Y6=0,"","G00 X-15.0 Y" &amp; TEXT((VPocket_Y6+MaleOffset)*mm,"#####.00")&amp;CHAR(10)&amp;s_X0VPocket)</f>
        <v>G00 X-15.0 Y2805.83
(&gt;&gt;&gt;SUB X0VPocket)
G91
G01 Y-42.0  Z-50.8 F2500
X52.46
Y84.0
X-52.46
G90
G00 Z50.0
G00 X-25.0
(&lt;&lt;&lt;SUB X0VPocket)</v>
      </c>
      <c r="C62" s="8" t="s">
        <v>198</v>
      </c>
      <c r="D62" s="7" t="str">
        <f>IF(VPocket_Y6=0,"","G00 X-15.0 Y" &amp; TEXT((VPocket_Y6+MaleOffset)*mm,"#####.00")&amp;CHAR(10)&amp;s_X0VPocket)</f>
        <v>G00 X-15.0 Y2805.83
(&gt;&gt;&gt;SUB X0VPocket)
G91
G01 Y-42.0  Z-50.8 F2500
X52.46
Y84.0
X-52.46
G90
G00 Z50.0
G00 X-25.0
(&lt;&lt;&lt;SUB X0VPocket)</v>
      </c>
      <c r="E62" s="8" t="s">
        <v>198</v>
      </c>
      <c r="F62" s="7" t="s">
        <v>121</v>
      </c>
      <c r="G62" s="8" t="s">
        <v>198</v>
      </c>
      <c r="H62" s="7" t="s">
        <v>121</v>
      </c>
      <c r="I62" s="8" t="s">
        <v>198</v>
      </c>
      <c r="J62" s="7" t="s">
        <v>103</v>
      </c>
      <c r="K62" s="8" t="s">
        <v>198</v>
      </c>
      <c r="L62" s="7" t="str">
        <f>IF(VPocket_Y1=0,"","G00 X" &amp; TEXT((BaseDXVPocket)*mm,"#####.00")&amp;" Y" &amp; TEXT((VPocket_Y1+MaleOffset)*mm,"#####.00")&amp;CHAR(10)&amp;s_DXVPocket)</f>
        <v/>
      </c>
      <c r="M62" s="8" t="s">
        <v>198</v>
      </c>
      <c r="N62" s="8"/>
      <c r="O62" s="7" t="str">
        <f>"G01 Z"&amp;TEXT(T6Z,"#####.00")&amp;" F2000"</f>
        <v>G01 Z80.65 F2000</v>
      </c>
      <c r="P62" s="64"/>
      <c r="R62" s="7" t="s">
        <v>103</v>
      </c>
      <c r="T62" s="7" t="s">
        <v>121</v>
      </c>
    </row>
    <row r="63" spans="2:20" x14ac:dyDescent="0.25">
      <c r="B63" s="7" t="s">
        <v>100</v>
      </c>
      <c r="C63" s="8" t="s">
        <v>198</v>
      </c>
      <c r="D63" s="7" t="s">
        <v>100</v>
      </c>
      <c r="E63" s="8" t="s">
        <v>198</v>
      </c>
      <c r="G63" s="8" t="s">
        <v>198</v>
      </c>
      <c r="I63" s="8" t="s">
        <v>198</v>
      </c>
      <c r="J63" s="7" t="str">
        <f>IF(VPocket_Y3=0,"","G00 X-15.0 Y" &amp; TEXT((VPocket_Y3+MaleOffset)*mm,"#####.00")&amp;CHAR(10)&amp;s_X0VPocket)</f>
        <v/>
      </c>
      <c r="K63" s="8" t="s">
        <v>198</v>
      </c>
      <c r="M63" s="8" t="s">
        <v>198</v>
      </c>
      <c r="N63" s="8"/>
      <c r="P63" s="64"/>
      <c r="R63" s="7" t="str">
        <f>IF(VPocket_Y3=0,"","G00 X-15.0 Y" &amp; TEXT((VPocket_Y3+MaleOffset)*mm,"#####.00")&amp;CHAR(10)&amp;s_X0VPocket)</f>
        <v/>
      </c>
    </row>
    <row r="64" spans="2:20" x14ac:dyDescent="0.25">
      <c r="B64" s="7" t="str">
        <f>IF(VPocket_Y5=0,"","G00 X-15.0 Y" &amp; TEXT((VPocket_Y5+MaleOffset+0.625)*mm,"#####.00")&amp;CHAR(10)&amp;s_X0VPocket)</f>
        <v/>
      </c>
      <c r="C64" s="8" t="s">
        <v>198</v>
      </c>
      <c r="D64" s="7" t="str">
        <f>IF(VPocket_Y5=0,"","G00 X-15.0 Y" &amp; TEXT((VPocket_Y5+MaleOffset)*mm,"#####.00")&amp;CHAR(10)&amp;s_X0VPocket)</f>
        <v/>
      </c>
      <c r="E64" s="8" t="s">
        <v>198</v>
      </c>
      <c r="F64" s="7" t="str">
        <f>"G00 X" &amp;TEXT((BaseDXVPocket-DIffWidth+0.0625)*mm,"#####.00")</f>
        <v>G00 X327.98</v>
      </c>
      <c r="G64" s="8" t="s">
        <v>198</v>
      </c>
      <c r="H64" s="7" t="str">
        <f>"G00 X" &amp;TEXT((BaseDXVPocket-DIffWidth+0.0625)*mm,"#####.00")</f>
        <v>G00 X327.98</v>
      </c>
      <c r="I64" s="8" t="s">
        <v>198</v>
      </c>
      <c r="J64" s="7" t="s">
        <v>104</v>
      </c>
      <c r="K64" s="8" t="s">
        <v>198</v>
      </c>
      <c r="L64" s="7" t="str">
        <f>"G00 X"&amp;TEXT((BaseDXVPocket)*mm,"#####.00")</f>
        <v>G00 X1209.04</v>
      </c>
      <c r="M64" s="8" t="s">
        <v>198</v>
      </c>
      <c r="N64" s="8"/>
      <c r="P64" s="64"/>
      <c r="R64" s="7" t="s">
        <v>104</v>
      </c>
      <c r="T64" s="7" t="s">
        <v>106</v>
      </c>
    </row>
    <row r="65" spans="2:20" x14ac:dyDescent="0.25">
      <c r="B65" s="7" t="s">
        <v>102</v>
      </c>
      <c r="C65" s="8" t="s">
        <v>198</v>
      </c>
      <c r="D65" s="7" t="s">
        <v>102</v>
      </c>
      <c r="E65" s="8" t="s">
        <v>198</v>
      </c>
      <c r="G65" s="8" t="s">
        <v>198</v>
      </c>
      <c r="I65" s="8" t="s">
        <v>198</v>
      </c>
      <c r="J65" s="7" t="str">
        <f>IF(VPocket_Y2=0,"","G00 X-15.0 Y" &amp; TEXT((VPocket_Y2+MaleOffset)*mm,"#####.00")&amp;CHAR(10)&amp;s_X0VPocket)</f>
        <v>G00 X-15.0 Y265.83
(&gt;&gt;&gt;SUB X0VPocket)
G91
G01 Y-42.0  Z-50.8 F2500
X52.46
Y84.0
X-52.46
G90
G00 Z50.0
G00 X-25.0
(&lt;&lt;&lt;SUB X0VPocket)</v>
      </c>
      <c r="K65" s="8" t="s">
        <v>198</v>
      </c>
      <c r="L65" s="7" t="str">
        <f>"G00 Y3100.0"</f>
        <v>G00 Y3100.0</v>
      </c>
      <c r="M65" s="8" t="s">
        <v>198</v>
      </c>
      <c r="N65" s="8"/>
      <c r="O65" s="7" t="s">
        <v>159</v>
      </c>
      <c r="P65" s="64"/>
      <c r="R65" s="7" t="str">
        <f>IF(VPocket_Y2=0,"","G00 X-15.0 Y" &amp; TEXT((VPocket_Y2+MaleOffset)*mm,"#####.00")&amp;CHAR(10)&amp;s_X0VPocket)</f>
        <v>G00 X-15.0 Y265.83
(&gt;&gt;&gt;SUB X0VPocket)
G91
G01 Y-42.0  Z-50.8 F2500
X52.46
Y84.0
X-52.46
G90
G00 Z50.0
G00 X-25.0
(&lt;&lt;&lt;SUB X0VPocket)</v>
      </c>
      <c r="T65" s="85" t="str">
        <f>IF(HPocket_X0=0,"","G00 X"&amp;TEXT((HPocket_X0+0.125)*mm,"#####.00")&amp;" Y-12.0"&amp;CHAR(10)&amp;DIFF_Y0HPocket)</f>
        <v>G00 X257.18 Y-12.0
(&gt;&gt;&gt;DIFF Y0HPocket)
G91
G01 X-42.0 F2500
Y52.87000094
X84.0
Y-52.87000094
X-84 Z-50.8
Y52.87000094
X84.0
Y-52.87000094
X-42.0
G90
G00Z50.0
G00Y-50.0
(&lt;&lt;&lt;DIFF Y0HPocket)</v>
      </c>
    </row>
    <row r="66" spans="2:20" x14ac:dyDescent="0.25">
      <c r="B66" s="7" t="str">
        <f>IF(VPocket_Y4=0,"","G00 X-15.0 Y" &amp; TEXT((VPocket_Y4+MaleOffset)*mm,"#####.00")&amp;CHAR(10)&amp;s_X0VPocket)</f>
        <v>G00 X-15.0 Y1535.83
(&gt;&gt;&gt;SUB X0VPocket)
G91
G01 Y-42.0  Z-50.8 F2500
X52.46
Y84.0
X-52.46
G90
G00 Z50.0
G00 X-25.0
(&lt;&lt;&lt;SUB X0VPocket)</v>
      </c>
      <c r="C66" s="8" t="s">
        <v>198</v>
      </c>
      <c r="D66" s="7" t="str">
        <f>IF(VPocket_Y4=0,"","G00 X-15.0 Y" &amp; TEXT((VPocket_Y4+MaleOffset)*mm,"#####.00")&amp;CHAR(10)&amp;s_X0VPocket)</f>
        <v>G00 X-15.0 Y1535.83
(&gt;&gt;&gt;SUB X0VPocket)
G91
G01 Y-42.0  Z-50.8 F2500
X52.46
Y84.0
X-52.46
G90
G00 Z50.0
G00 X-25.0
(&lt;&lt;&lt;SUB X0VPocket)</v>
      </c>
      <c r="E66" s="8" t="s">
        <v>198</v>
      </c>
      <c r="F66" s="7" t="s">
        <v>109</v>
      </c>
      <c r="G66" s="8" t="s">
        <v>198</v>
      </c>
      <c r="H66" s="7" t="s">
        <v>109</v>
      </c>
      <c r="I66" s="8" t="s">
        <v>198</v>
      </c>
      <c r="J66" s="7" t="s">
        <v>105</v>
      </c>
      <c r="K66" s="8" t="s">
        <v>198</v>
      </c>
      <c r="M66" s="8" t="s">
        <v>198</v>
      </c>
      <c r="N66" s="8"/>
      <c r="O66" s="7" t="s">
        <v>82</v>
      </c>
      <c r="P66" s="64"/>
      <c r="R66" s="7" t="s">
        <v>105</v>
      </c>
      <c r="T66" s="7" t="s">
        <v>107</v>
      </c>
    </row>
    <row r="67" spans="2:20" x14ac:dyDescent="0.25">
      <c r="B67" s="7" t="s">
        <v>103</v>
      </c>
      <c r="C67" s="8" t="s">
        <v>198</v>
      </c>
      <c r="D67" s="7" t="s">
        <v>103</v>
      </c>
      <c r="E67" s="8" t="s">
        <v>198</v>
      </c>
      <c r="F67" s="7" t="str">
        <f>IF(VPocket_Y1=0,"","G00 Y" &amp; TEXT((VPocket_Y1+MaleOffset)*mm,"#####.00")&amp;CHAR(10)&amp;s_DXVPocket)</f>
        <v/>
      </c>
      <c r="G67" s="8" t="s">
        <v>198</v>
      </c>
      <c r="H67" s="7" t="str">
        <f>IF(VPocket_Y1=0,"","G00 Y" &amp; TEXT((VPocket_Y1+MaleOffset)*mm,"#####.00")&amp;CHAR(10)&amp;s_DXVPocket)</f>
        <v/>
      </c>
      <c r="I67" s="8" t="s">
        <v>198</v>
      </c>
      <c r="J67" s="7" t="str">
        <f>IF(VPocket_Y1=0,"","G00 X-15.0 Y" &amp; TEXT((VPocket_Y1+MaleOffset)*mm,"#####.00")&amp;CHAR(10)&amp;s_X0VPocket)</f>
        <v/>
      </c>
      <c r="K67" s="8" t="s">
        <v>198</v>
      </c>
      <c r="L67" s="7" t="s">
        <v>31</v>
      </c>
      <c r="M67" s="8" t="s">
        <v>198</v>
      </c>
      <c r="N67" s="8"/>
      <c r="P67" s="64"/>
      <c r="R67" s="7" t="str">
        <f>IF(VPocket_Y1=0,"","G00 X-15.0 Y" &amp; TEXT((VPocket_Y1+MaleOffset)*mm,"#####.00")&amp;CHAR(10)&amp;s_X0VPocket)</f>
        <v/>
      </c>
      <c r="T67" s="7" t="str">
        <f>IF(HPocket_XM=0,"","G00 X"&amp;TEXT((HPocket_XM)*mm,"#####.00")&amp;" Y-12.0"&amp;CHAR(10)&amp;DIFF_Y0HPocket)</f>
        <v/>
      </c>
    </row>
    <row r="68" spans="2:20" x14ac:dyDescent="0.25">
      <c r="B68" s="7" t="str">
        <f>IF(VPocket_Y3=0,"","G00 X-15.0 Y" &amp; TEXT((VPocket_Y3+MaleOffset+0.625)*mm,"#####.00")&amp;CHAR(10)&amp;s_X0VPocket)</f>
        <v/>
      </c>
      <c r="C68" s="8" t="s">
        <v>198</v>
      </c>
      <c r="D68" s="7" t="str">
        <f>IF(VPocket_Y3=0,"","G00 X-15.0 Y" &amp; TEXT((VPocket_Y3+MaleOffset)*mm,"#####.00")&amp;CHAR(10)&amp;s_X0VPocket)</f>
        <v/>
      </c>
      <c r="E68" s="8" t="s">
        <v>198</v>
      </c>
      <c r="F68" s="7" t="s">
        <v>110</v>
      </c>
      <c r="G68" s="8" t="s">
        <v>198</v>
      </c>
      <c r="H68" s="7" t="s">
        <v>110</v>
      </c>
      <c r="I68" s="8" t="s">
        <v>198</v>
      </c>
      <c r="K68" s="8" t="s">
        <v>198</v>
      </c>
      <c r="L68" s="7" t="s">
        <v>32</v>
      </c>
      <c r="M68" s="8" t="s">
        <v>198</v>
      </c>
      <c r="N68" s="8"/>
      <c r="P68" s="64"/>
      <c r="T68" s="7" t="s">
        <v>108</v>
      </c>
    </row>
    <row r="69" spans="2:20" x14ac:dyDescent="0.25">
      <c r="B69" s="7" t="s">
        <v>104</v>
      </c>
      <c r="C69" s="8" t="s">
        <v>198</v>
      </c>
      <c r="D69" s="7" t="s">
        <v>104</v>
      </c>
      <c r="E69" s="8" t="s">
        <v>198</v>
      </c>
      <c r="F69" s="7" t="str">
        <f>IF(VPocket_Y2=0,"","G00 Y" &amp; TEXT((VPocket_Y2+MaleOffset-0.5)*mm,"#####.00")&amp;CHAR(10)&amp;s_DXVPocket)</f>
        <v>G00 Y253.13
(&gt;&gt;&gt;SUB DXVPocket)
G91
G01 Y42.0 Z-50.8 F2500
X-42
Y-86.0
X42
Y86 
G90
G00Z50.0
(&lt;&lt;&lt;SUB DXVPocket)</v>
      </c>
      <c r="G69" s="8" t="s">
        <v>198</v>
      </c>
      <c r="H69" s="7" t="str">
        <f>IF(VPocket_Y2=0,"","G00 Y" &amp; TEXT((VPocket_Y2+MaleOffset-0.5)*mm,"#####.00")&amp;CHAR(10)&amp;s_DXVPocket)</f>
        <v>G00 Y253.13
(&gt;&gt;&gt;SUB DXVPocket)
G91
G01 Y42.0 Z-50.8 F2500
X-42
Y-86.0
X42
Y86 
G90
G00Z50.0
(&lt;&lt;&lt;SUB DXVPocket)</v>
      </c>
      <c r="I69" s="8" t="s">
        <v>198</v>
      </c>
      <c r="J69" s="7" t="s">
        <v>82</v>
      </c>
      <c r="K69" s="8" t="s">
        <v>198</v>
      </c>
      <c r="L69" s="7" t="s">
        <v>134</v>
      </c>
      <c r="M69" s="8" t="s">
        <v>198</v>
      </c>
      <c r="N69" s="8"/>
      <c r="O69" s="7" t="s">
        <v>31</v>
      </c>
      <c r="P69" s="64"/>
      <c r="R69" s="7" t="s">
        <v>121</v>
      </c>
      <c r="T69" s="7" t="str">
        <f>IF(Hpocket_DX=0,"","G00 X"&amp;TEXT((Hpocket_DX-0.5+0.787)*mm,"#####.00")&amp;" Y-12.0"&amp;CHAR(10)&amp;DIFF_Y0HPocket)</f>
        <v/>
      </c>
    </row>
    <row r="70" spans="2:20" x14ac:dyDescent="0.25">
      <c r="B70" s="7" t="str">
        <f>IF(VPocket_Y2=0,"","G00 X-15.0 Y" &amp; TEXT((VPocket_Y2+MaleOffset)*mm,"#####.00")&amp;CHAR(10)&amp;s_X0VPocket)</f>
        <v>G00 X-15.0 Y265.83
(&gt;&gt;&gt;SUB X0VPocket)
G91
G01 Y-42.0  Z-50.8 F2500
X52.46
Y84.0
X-52.46
G90
G00 Z50.0
G00 X-25.0
(&lt;&lt;&lt;SUB X0VPocket)</v>
      </c>
      <c r="C70" s="8" t="s">
        <v>198</v>
      </c>
      <c r="D70" s="7" t="str">
        <f>IF(VPocket_Y2=0,"","G00 X-15.0 Y" &amp; TEXT((VPocket_Y2+MaleOffset)*mm,"#####.00")&amp;CHAR(10)&amp;s_X0VPocket)</f>
        <v>G00 X-15.0 Y265.83
(&gt;&gt;&gt;SUB X0VPocket)
G91
G01 Y-42.0  Z-50.8 F2500
X52.46
Y84.0
X-52.46
G90
G00 Z50.0
G00 X-25.0
(&lt;&lt;&lt;SUB X0VPocket)</v>
      </c>
      <c r="E70" s="8" t="s">
        <v>198</v>
      </c>
      <c r="F70" s="7" t="s">
        <v>111</v>
      </c>
      <c r="G70" s="8" t="s">
        <v>198</v>
      </c>
      <c r="H70" s="7" t="s">
        <v>111</v>
      </c>
      <c r="I70" s="8" t="s">
        <v>198</v>
      </c>
      <c r="K70" s="8" t="s">
        <v>198</v>
      </c>
      <c r="L70" s="7" t="s">
        <v>147</v>
      </c>
      <c r="M70" s="8" t="s">
        <v>198</v>
      </c>
      <c r="N70" s="8"/>
      <c r="O70" s="7" t="s">
        <v>32</v>
      </c>
      <c r="P70" s="64"/>
    </row>
    <row r="71" spans="2:20" x14ac:dyDescent="0.25">
      <c r="B71" s="7" t="s">
        <v>105</v>
      </c>
      <c r="C71" s="8" t="s">
        <v>198</v>
      </c>
      <c r="D71" s="7" t="s">
        <v>105</v>
      </c>
      <c r="E71" s="8" t="s">
        <v>198</v>
      </c>
      <c r="F71" s="7" t="str">
        <f>IF(VPocket_Y3=0,"","G00 Y" &amp; TEXT((VPocket_Y3+MaleOffset)*mm,"#####.00")&amp;CHAR(10)&amp;s_DXVPocket)</f>
        <v/>
      </c>
      <c r="G71" s="8" t="s">
        <v>198</v>
      </c>
      <c r="H71" s="7" t="str">
        <f>IF(VPocket_Y3=0,"","G00 Y" &amp; TEXT((VPocket_Y3+MaleOffset)*mm,"#####.00")&amp;CHAR(10)&amp;s_DXVPocket)</f>
        <v/>
      </c>
      <c r="I71" s="8" t="s">
        <v>198</v>
      </c>
      <c r="J71" s="7" t="s">
        <v>31</v>
      </c>
      <c r="K71" s="8" t="s">
        <v>198</v>
      </c>
      <c r="L71" s="7" t="s">
        <v>135</v>
      </c>
      <c r="M71" s="8" t="s">
        <v>198</v>
      </c>
      <c r="N71" s="8"/>
      <c r="O71" s="7" t="s">
        <v>39</v>
      </c>
      <c r="P71" s="64"/>
      <c r="T71" s="7" t="str">
        <f>"G00 X" &amp;TEXT((BaseDXVPocket-DIffWidth+0.0625)*mm,"#####.00")</f>
        <v>G00 X327.98</v>
      </c>
    </row>
    <row r="72" spans="2:20" x14ac:dyDescent="0.25">
      <c r="B72" s="7" t="str">
        <f>IF(VPocket_Y1=0,"","G00 X-15.0 Y" &amp; TEXT((VPocket_Y1+MaleOffset+0.625)*mm,"#####.00")&amp;CHAR(10)&amp;s_X0VPocket)</f>
        <v/>
      </c>
      <c r="C72" s="8" t="s">
        <v>198</v>
      </c>
      <c r="D72" s="7" t="str">
        <f>IF(VPocket_Y1=0,"","G00 X-15.0 Y" &amp; TEXT((VPocket_Y1+MaleOffset)*mm,"#####.00")&amp;CHAR(10)&amp;s_X0VPocket)</f>
        <v/>
      </c>
      <c r="E72" s="8" t="s">
        <v>198</v>
      </c>
      <c r="F72" s="7" t="s">
        <v>112</v>
      </c>
      <c r="G72" s="8" t="s">
        <v>198</v>
      </c>
      <c r="H72" s="7" t="s">
        <v>112</v>
      </c>
      <c r="I72" s="8" t="s">
        <v>198</v>
      </c>
      <c r="J72" s="7" t="s">
        <v>32</v>
      </c>
      <c r="K72" s="8" t="s">
        <v>198</v>
      </c>
      <c r="L72" s="7" t="s">
        <v>148</v>
      </c>
      <c r="M72" s="8" t="s">
        <v>198</v>
      </c>
      <c r="N72" s="8"/>
      <c r="O72" s="7" t="s">
        <v>83</v>
      </c>
      <c r="P72" s="64" t="s">
        <v>198</v>
      </c>
    </row>
    <row r="73" spans="2:20" x14ac:dyDescent="0.25">
      <c r="C73" s="8" t="s">
        <v>198</v>
      </c>
      <c r="E73" s="8" t="s">
        <v>198</v>
      </c>
      <c r="F73" s="7" t="str">
        <f>IF(VPocket_Y4=0,"","G00 Y" &amp; TEXT((VPocket_Y4+MaleOffset)*mm,"#####.00")&amp;CHAR(10)&amp;s_DXVPocket)</f>
        <v>G00 Y1535.83
(&gt;&gt;&gt;SUB DXVPocket)
G91
G01 Y42.0 Z-50.8 F2500
X-42
Y-86.0
X42
Y86 
G90
G00Z50.0
(&lt;&lt;&lt;SUB DXVPocket)</v>
      </c>
      <c r="G73" s="8" t="s">
        <v>198</v>
      </c>
      <c r="H73" s="7" t="str">
        <f>IF(VPocket_Y4=0,"","G00 Y" &amp; TEXT((VPocket_Y4+MaleOffset)*mm,"#####.00")&amp;CHAR(10)&amp;s_DXVPocket)</f>
        <v>G00 Y1535.83
(&gt;&gt;&gt;SUB DXVPocket)
G91
G01 Y42.0 Z-50.8 F2500
X-42
Y-86.0
X42
Y86 
G90
G00Z50.0
(&lt;&lt;&lt;SUB DXVPocket)</v>
      </c>
      <c r="I73" s="8" t="s">
        <v>198</v>
      </c>
      <c r="J73" s="7" t="s">
        <v>134</v>
      </c>
      <c r="K73" s="8" t="s">
        <v>198</v>
      </c>
      <c r="M73" s="8" t="s">
        <v>198</v>
      </c>
      <c r="N73" s="8"/>
      <c r="O73" s="7" t="s">
        <v>40</v>
      </c>
      <c r="P73" s="64" t="s">
        <v>198</v>
      </c>
      <c r="T73" s="7" t="s">
        <v>109</v>
      </c>
    </row>
    <row r="74" spans="2:20" x14ac:dyDescent="0.25">
      <c r="B74" s="7" t="s">
        <v>121</v>
      </c>
      <c r="C74" s="8" t="s">
        <v>198</v>
      </c>
      <c r="D74" s="7" t="s">
        <v>121</v>
      </c>
      <c r="E74" s="8" t="s">
        <v>198</v>
      </c>
      <c r="F74" s="7" t="s">
        <v>113</v>
      </c>
      <c r="G74" s="8" t="s">
        <v>198</v>
      </c>
      <c r="H74" s="7" t="s">
        <v>113</v>
      </c>
      <c r="I74" s="8" t="s">
        <v>198</v>
      </c>
      <c r="J74" s="7" t="s">
        <v>147</v>
      </c>
      <c r="K74" s="8" t="s">
        <v>198</v>
      </c>
      <c r="M74" s="8" t="s">
        <v>198</v>
      </c>
      <c r="N74" s="8"/>
      <c r="O74" s="7" t="s">
        <v>80</v>
      </c>
      <c r="P74" s="64" t="s">
        <v>198</v>
      </c>
      <c r="T74" s="7" t="str">
        <f>IF(VPocket_Y1=0,"","G00 Y" &amp; TEXT((VPocket_Y1+MaleOffset)*mm,"#####.00")&amp;CHAR(10)&amp;s_DXVPocket)</f>
        <v/>
      </c>
    </row>
    <row r="75" spans="2:20" x14ac:dyDescent="0.25">
      <c r="C75" s="8" t="s">
        <v>198</v>
      </c>
      <c r="E75" s="8" t="s">
        <v>198</v>
      </c>
      <c r="F75" s="7" t="str">
        <f>IF(VPocket_Y5=0,"","G00 Y" &amp; TEXT((VPocket_Y5+MaleOffset)*mm,"#####.00")&amp;CHAR(10)&amp;s_DXVPocket)</f>
        <v/>
      </c>
      <c r="G75" s="8" t="s">
        <v>198</v>
      </c>
      <c r="H75" s="7" t="str">
        <f>IF(VPocket_Y5=0,"","G00 Y" &amp; TEXT((VPocket_Y5+MaleOffset)*mm,"#####.00")&amp;CHAR(10)&amp;s_DXVPocket)</f>
        <v/>
      </c>
      <c r="I75" s="8" t="s">
        <v>198</v>
      </c>
      <c r="J75" s="7" t="s">
        <v>135</v>
      </c>
      <c r="K75" s="8" t="s">
        <v>198</v>
      </c>
      <c r="L75" s="7" t="str">
        <f>IF(TopPocket_DX=0,"","G00 X"&amp;TEXT((TopPocket_DX)*mm,"#####.00")&amp;" Y"&amp;TEXT((3050),"#####.00"))</f>
        <v>G00 X44.45 Y3050.00</v>
      </c>
      <c r="M75" s="7" t="s">
        <v>198</v>
      </c>
      <c r="O75" s="7" t="s">
        <v>98</v>
      </c>
      <c r="P75" s="64" t="s">
        <v>198</v>
      </c>
      <c r="T75" s="7" t="s">
        <v>110</v>
      </c>
    </row>
    <row r="76" spans="2:20" x14ac:dyDescent="0.25">
      <c r="B76" s="7" t="s">
        <v>106</v>
      </c>
      <c r="C76" s="8" t="s">
        <v>198</v>
      </c>
      <c r="D76" s="7" t="s">
        <v>106</v>
      </c>
      <c r="E76" s="8" t="s">
        <v>198</v>
      </c>
      <c r="F76" s="7" t="s">
        <v>114</v>
      </c>
      <c r="G76" s="8" t="s">
        <v>198</v>
      </c>
      <c r="H76" s="7" t="s">
        <v>114</v>
      </c>
      <c r="I76" s="8" t="s">
        <v>198</v>
      </c>
      <c r="J76" s="7" t="s">
        <v>148</v>
      </c>
      <c r="K76" s="8" t="s">
        <v>198</v>
      </c>
      <c r="M76" s="7" t="s">
        <v>198</v>
      </c>
      <c r="P76" s="64" t="s">
        <v>198</v>
      </c>
      <c r="T76" s="7" t="str">
        <f>IF(VPocket_Y2=0,"","G00 Y" &amp; TEXT((VPocket_Y2+MaleOffset-0.05)*mm,"#####.00")&amp;CHAR(10)&amp;s_DXVPocket)</f>
        <v>G00 Y264.56
(&gt;&gt;&gt;SUB DXVPocket)
G91
G01 Y42.0 Z-50.8 F2500
X-42
Y-86.0
X42
Y86 
G90
G00Z50.0
(&lt;&lt;&lt;SUB DXVPocket)</v>
      </c>
    </row>
    <row r="77" spans="2:20" x14ac:dyDescent="0.25">
      <c r="B77" s="7" t="str">
        <f>IF(HPocket_X0=0,"","G00 X"&amp;TEXT((HPocket_X0+0.125)*mm,"#####.00")&amp;" Y-12.0"&amp;CHAR(10)&amp;s_Y0HPocket)</f>
        <v>G00 X257.18 Y-12.0
(&gt;&gt;&gt;SUB Y0HPocket)
G91
G01 X-42.0 F2500
Y48.775
X84.0
Y-48.775
X-84 Z-50.8
Y48.775
X84.0
Y-48.775
X-42.0
G90
G00Z50.0
G00Y-50.0
(&lt;&lt;&lt;SUB Y0HPocket)</v>
      </c>
      <c r="C77" s="8" t="s">
        <v>198</v>
      </c>
      <c r="D77" s="7" t="str">
        <f>IF(HPocket_X0=0,"","G00 X"&amp;TEXT((HPocket_X0+0.125)*mm,"#####.00")&amp;" Y-12.0"&amp;CHAR(10)&amp;s_Y0HPocket)</f>
        <v>G00 X257.18 Y-12.0
(&gt;&gt;&gt;SUB Y0HPocket)
G91
G01 X-42.0 F2500
Y48.775
X84.0
Y-48.775
X-84 Z-50.8
Y48.775
X84.0
Y-48.775
X-42.0
G90
G00Z50.0
G00Y-50.0
(&lt;&lt;&lt;SUB Y0HPocket)</v>
      </c>
      <c r="E77" s="8" t="s">
        <v>198</v>
      </c>
      <c r="F77" s="7" t="str">
        <f>IF(VPocket_Y6=0,"","G00 Y" &amp; TEXT((VPocket_Y6+MaleOffset-0.5)*mm,"#####.00")&amp;CHAR(10)&amp;s_DXVPocket)</f>
        <v>G00 Y2793.13
(&gt;&gt;&gt;SUB DXVPocket)
G91
G01 Y42.0 Z-50.8 F2500
X-42
Y-86.0
X42
Y86 
G90
G00Z50.0
(&lt;&lt;&lt;SUB DXVPocket)</v>
      </c>
      <c r="G77" s="8" t="s">
        <v>198</v>
      </c>
      <c r="H77" s="7" t="str">
        <f>IF(VPocket_Y6=0,"","G00 Y" &amp; TEXT((VPocket_Y6+MaleOffset-0.5)*mm,"#####.00")&amp;CHAR(10)&amp;s_DXVPocket)</f>
        <v>G00 Y2793.13
(&gt;&gt;&gt;SUB DXVPocket)
G91
G01 Y42.0 Z-50.8 F2500
X-42
Y-86.0
X42
Y86 
G90
G00Z50.0
(&lt;&lt;&lt;SUB DXVPocket)</v>
      </c>
      <c r="I77" s="8" t="s">
        <v>198</v>
      </c>
      <c r="K77" s="8" t="s">
        <v>198</v>
      </c>
      <c r="L77" s="7" t="s">
        <v>137</v>
      </c>
      <c r="M77" s="8" t="s">
        <v>198</v>
      </c>
      <c r="N77" s="8"/>
      <c r="O77" s="7" t="s">
        <v>97</v>
      </c>
      <c r="P77" s="64" t="s">
        <v>198</v>
      </c>
      <c r="T77" s="7" t="s">
        <v>111</v>
      </c>
    </row>
    <row r="78" spans="2:20" x14ac:dyDescent="0.25">
      <c r="B78" s="7" t="s">
        <v>107</v>
      </c>
      <c r="C78" s="8" t="s">
        <v>198</v>
      </c>
      <c r="D78" s="7" t="s">
        <v>107</v>
      </c>
      <c r="E78" s="8" t="s">
        <v>198</v>
      </c>
      <c r="F78" s="7" t="s">
        <v>115</v>
      </c>
      <c r="G78" s="8" t="s">
        <v>198</v>
      </c>
      <c r="H78" s="7" t="s">
        <v>115</v>
      </c>
      <c r="I78" s="8" t="s">
        <v>198</v>
      </c>
      <c r="J78" s="7" t="s">
        <v>137</v>
      </c>
      <c r="K78" s="8" t="s">
        <v>198</v>
      </c>
      <c r="L78" s="7" t="s">
        <v>269</v>
      </c>
      <c r="M78" s="8" t="s">
        <v>198</v>
      </c>
      <c r="N78" s="8"/>
      <c r="O78" s="59" t="str">
        <f>IF(VPocket_Y7=0,"","G00 X-15.0 Y" &amp; TEXT((VPocket_Y7+MaleOffset+0.125)*mm,"#####.00")&amp;CHAR(10)&amp;s_X0VPocket)</f>
        <v/>
      </c>
      <c r="P78" s="64" t="s">
        <v>198</v>
      </c>
      <c r="R78" s="7" t="str">
        <f>"G00 X" &amp;TEXT((BaseDXVPocket-DIffWidth+0.0625)*mm,"#####.00")</f>
        <v>G00 X327.98</v>
      </c>
      <c r="T78" s="7" t="str">
        <f>IF(VPocket_Y3=0,"","G00 Y" &amp; TEXT((VPocket_Y3+MaleOffset)*mm,"#####.00")&amp;CHAR(10)&amp;s_DXVPocket)</f>
        <v/>
      </c>
    </row>
    <row r="79" spans="2:20" x14ac:dyDescent="0.25">
      <c r="B79" s="7" t="str">
        <f>IF(HPocket_XM=0,"","G00 X"&amp;TEXT((HPocket_XM)*mm,"#####.00")&amp;" Y-12.0"&amp;CHAR(10)&amp;s_Y0HPocket)</f>
        <v/>
      </c>
      <c r="C79" s="8" t="s">
        <v>198</v>
      </c>
      <c r="D79" s="7" t="str">
        <f>IF(HPocket_XM=0,"","G00 X"&amp;TEXT((HPocket_XM)*mm,"#####.00")&amp;" Y-12.0"&amp;CHAR(10)&amp;s_Y0HPocket)</f>
        <v/>
      </c>
      <c r="E79" s="8" t="s">
        <v>198</v>
      </c>
      <c r="F79" s="7" t="str">
        <f>IF(VPocket_Y7=0,"","G00 Y" &amp; TEXT((VPocket_Y7+MaleOffset)*mm,"#####.00")&amp;CHAR(10)&amp;s_DXVPocket)</f>
        <v/>
      </c>
      <c r="G79" s="8" t="s">
        <v>198</v>
      </c>
      <c r="H79" s="7" t="str">
        <f>IF(VPocket_Y7=0,"","G00 Y" &amp; TEXT((VPocket_Y7+MaleOffset)*mm,"#####.00")&amp;CHAR(10)&amp;s_DXVPocket)</f>
        <v/>
      </c>
      <c r="I79" s="8" t="s">
        <v>198</v>
      </c>
      <c r="K79" s="8" t="s">
        <v>198</v>
      </c>
      <c r="L79" s="7" t="str">
        <f>IF(TopPocket_X1=0,"","G00 X" &amp; TEXT((BaseWidth-CeilingEndWidth+TopPocket_X1)*mm,"#####.00")&amp;" Y"&amp;TEXT((BaseTopFemaleDX-DiffLength-0.125)*mm,"#####.00")&amp;CHAR(10)&amp;s_TopPocket)</f>
        <v>G00 X1136.65 Y2994.03
(&gt;&gt;&gt;SUB TopPocket)
G00 Z66.93
G91
G01 Y44.0 F2500
X41.0
Y-85.0
X-85.0
Y85.0
X45.0
Y-10.0
X34.0
Y-68.0
X-68.0
Y68.0
X34.0
Y-10.0
X24.0
Y-48.0
X-48.0
Y48.0
X24.0
Y-10.0
X14.0
Y-28.0
X-28.0
Y28.0
X14.0
Y-10.0
X4.0
Y-8.0
X-8.0
Y8.0
X4.0
G90
G00 Z110.0
(&lt;&lt;&lt;END SUB TopPocket)</v>
      </c>
      <c r="M79" s="8" t="s">
        <v>198</v>
      </c>
      <c r="N79" s="8"/>
      <c r="O79" s="7" t="s">
        <v>99</v>
      </c>
      <c r="P79" s="64" t="s">
        <v>198</v>
      </c>
      <c r="T79" s="7" t="s">
        <v>112</v>
      </c>
    </row>
    <row r="80" spans="2:20" x14ac:dyDescent="0.25">
      <c r="B80" s="7" t="s">
        <v>108</v>
      </c>
      <c r="C80" s="8" t="s">
        <v>198</v>
      </c>
      <c r="D80" s="7" t="s">
        <v>108</v>
      </c>
      <c r="E80" s="8" t="s">
        <v>198</v>
      </c>
      <c r="G80" s="8" t="s">
        <v>198</v>
      </c>
      <c r="I80" s="8" t="s">
        <v>198</v>
      </c>
      <c r="J80" s="7" t="str">
        <f>IF(TopPocket_DX=0,"","G00 X"&amp;TEXT((TopPocket_DX+0.375)*mm,"#####.00")&amp;" Y"&amp;TEXT((3050),"#####.00"))</f>
        <v>G00 X53.98 Y3050.00</v>
      </c>
      <c r="K80" s="8" t="s">
        <v>198</v>
      </c>
      <c r="L80" s="7" t="s">
        <v>153</v>
      </c>
      <c r="M80" s="8" t="s">
        <v>198</v>
      </c>
      <c r="N80" s="8"/>
      <c r="O80" s="7" t="str">
        <f>IF(VPocket_Y6=0,"","G00 X-15.0 Y" &amp; TEXT((VPocket_Y6+MaleOffset)*mm,"#####.00")&amp;CHAR(10)&amp;s_X0VPocket)</f>
        <v>G00 X-15.0 Y2805.83
(&gt;&gt;&gt;SUB X0VPocket)
G91
G01 Y-42.0  Z-50.8 F2500
X52.46
Y84.0
X-52.46
G90
G00 Z50.0
G00 X-25.0
(&lt;&lt;&lt;SUB X0VPocket)</v>
      </c>
      <c r="P80" s="64" t="s">
        <v>198</v>
      </c>
      <c r="R80" s="7" t="s">
        <v>109</v>
      </c>
      <c r="T80" s="7" t="str">
        <f>IF(VPocket_Y4=0,"","G00 Y" &amp; TEXT((VPocket_Y4+MaleOffset)*mm,"#####.00")&amp;CHAR(10)&amp;s_DXVPocket)</f>
        <v>G00 Y1535.83
(&gt;&gt;&gt;SUB DXVPocket)
G91
G01 Y42.0 Z-50.8 F2500
X-42
Y-86.0
X42
Y86 
G90
G00Z50.0
(&lt;&lt;&lt;SUB DXVPocket)</v>
      </c>
    </row>
    <row r="81" spans="2:20" x14ac:dyDescent="0.25">
      <c r="B81" s="7" t="str">
        <f>IF(Hpocket_DX=0,"","G00 X"&amp;TEXT((Hpocket_DX-0.5+0.787)*mm,"#####.00")&amp;" Y-12.0"&amp;CHAR(10)&amp;s_Y0HPocket)</f>
        <v/>
      </c>
      <c r="C81" s="8" t="s">
        <v>198</v>
      </c>
      <c r="D81" s="7" t="str">
        <f>IF(Hpocket_DX=0,"","G00 X"&amp;TEXT((Hpocket_DX-0.5+0.787)*mm,"#####.00")&amp;" Y-12.0"&amp;CHAR(10)&amp;s_Y0HPocket)</f>
        <v/>
      </c>
      <c r="E81" s="8" t="s">
        <v>198</v>
      </c>
      <c r="F81" s="7" t="str">
        <f>"G00 Y"&amp;TEXT((BaseDYHPocket-DiffHeight)*mm,"#####.00")</f>
        <v>G00 Y3091.00</v>
      </c>
      <c r="G81" s="8" t="s">
        <v>198</v>
      </c>
      <c r="H81" s="7" t="str">
        <f>"G00 Y"&amp;TEXT((BaseDYHPocket-DiffHeight)*mm,"#####.00")</f>
        <v>G00 Y3091.00</v>
      </c>
      <c r="I81" s="8" t="s">
        <v>198</v>
      </c>
      <c r="K81" s="8" t="s">
        <v>198</v>
      </c>
      <c r="L81" s="7" t="str">
        <f>IF(TopPocket_XM=0,"","G00 X" &amp; TEXT((BaseWidth-CeilingEndWidth+TopPocket_XM)*mm,"#####.00")&amp;" Y"&amp;TEXT((BaseTopFemaleDX-DiffLength)*mm,"#####.00")&amp;CHAR(10)&amp;s_TopPocket)</f>
        <v/>
      </c>
      <c r="M81" s="8" t="s">
        <v>198</v>
      </c>
      <c r="N81" s="8"/>
      <c r="O81" s="7" t="s">
        <v>100</v>
      </c>
      <c r="P81" s="64" t="s">
        <v>198</v>
      </c>
      <c r="R81" s="7" t="str">
        <f>IF(VPocket_Y1=0,"","G00 Y" &amp; TEXT((VPocket_Y1+MaleOffset)*mm,"#####.00")&amp;CHAR(10)&amp;s_DXVPocket)</f>
        <v/>
      </c>
      <c r="T81" s="7" t="s">
        <v>113</v>
      </c>
    </row>
    <row r="82" spans="2:20" x14ac:dyDescent="0.25">
      <c r="C82" s="8" t="s">
        <v>198</v>
      </c>
      <c r="E82" s="8" t="s">
        <v>198</v>
      </c>
      <c r="G82" s="8" t="s">
        <v>198</v>
      </c>
      <c r="I82" s="8" t="s">
        <v>198</v>
      </c>
      <c r="J82" s="7" t="s">
        <v>269</v>
      </c>
      <c r="K82" s="8" t="s">
        <v>198</v>
      </c>
      <c r="L82" s="7" t="s">
        <v>154</v>
      </c>
      <c r="M82" s="8" t="s">
        <v>198</v>
      </c>
      <c r="N82" s="8"/>
      <c r="O82" s="7" t="str">
        <f>IF(VPocket_Y5=0,"","G00 X-15.0 Y" &amp; TEXT((VPocket_Y5+MaleOffset)*mm,"#####.00")&amp;CHAR(10)&amp;s_X0VPocket)</f>
        <v/>
      </c>
      <c r="P82" s="64" t="s">
        <v>198</v>
      </c>
      <c r="R82" s="7" t="s">
        <v>110</v>
      </c>
      <c r="T82" s="7" t="str">
        <f>IF(VPocket_Y5=0,"","G00 Y" &amp; TEXT((VPocket_Y5+MaleOffset)*mm,"#####.00")&amp;CHAR(10)&amp;s_DXVPocket)</f>
        <v/>
      </c>
    </row>
    <row r="83" spans="2:20" x14ac:dyDescent="0.25">
      <c r="B83" s="7" t="str">
        <f>"G00 X" &amp;TEXT((BaseDXVPocket-DIffWidth+0.0625)*mm,"#####.00")</f>
        <v>G00 X327.98</v>
      </c>
      <c r="C83" s="8" t="s">
        <v>198</v>
      </c>
      <c r="D83" s="7" t="str">
        <f>"G00 X" &amp;TEXT((BaseDXVPocket-DIffWidth+0.0625)*mm,"#####.00")</f>
        <v>G00 X327.98</v>
      </c>
      <c r="E83" s="8" t="s">
        <v>198</v>
      </c>
      <c r="F83" s="7" t="s">
        <v>47</v>
      </c>
      <c r="G83" s="8" t="s">
        <v>198</v>
      </c>
      <c r="H83" s="7" t="s">
        <v>47</v>
      </c>
      <c r="I83" s="8" t="s">
        <v>198</v>
      </c>
      <c r="J83" s="7" t="str">
        <f>IF(TopPocket_X1=0,"","G00 X" &amp; TEXT((CeilingEndWidth-TopPocket_X1+0.375)*mm,"#####.00")&amp;" Y"&amp;TEXT((BaseTopFemaleDX-DiffLength-0.125)*mm,"#####.00")&amp;CHAR(10)&amp;s_TopPocket)</f>
        <v>G00 X53.98 Y2994.03
(&gt;&gt;&gt;SUB TopPocket)
G00 Z66.93
G91
G01 Y44.0 F2500
X41.0
Y-85.0
X-85.0
Y85.0
X45.0
Y-10.0
X34.0
Y-68.0
X-68.0
Y68.0
X34.0
Y-10.0
X24.0
Y-48.0
X-48.0
Y48.0
X24.0
Y-10.0
X14.0
Y-28.0
X-28.0
Y28.0
X14.0
Y-10.0
X4.0
Y-8.0
X-8.0
Y8.0
X4.0
G90
G00 Z110.0
(&lt;&lt;&lt;END SUB TopPocket)</v>
      </c>
      <c r="K83" s="8" t="s">
        <v>198</v>
      </c>
      <c r="L83" s="7" t="str">
        <f>IF(TopPocket_X0=0,"","G00 X" &amp; TEXT((BaseWidth-CeilingEndWidth+TopPocket_X0)*mm,"#####.00")&amp;" Y"&amp;TEXT((BaseTopFemaleDX-DiffLength-0.125)*mm,"#####.00")&amp;CHAR(10)&amp;s_TopPocket)</f>
        <v>G00 X1136.65 Y2994.03
(&gt;&gt;&gt;SUB TopPocket)
G00 Z66.93
G91
G01 Y44.0 F2500
X41.0
Y-85.0
X-85.0
Y85.0
X45.0
Y-10.0
X34.0
Y-68.0
X-68.0
Y68.0
X34.0
Y-10.0
X24.0
Y-48.0
X-48.0
Y48.0
X24.0
Y-10.0
X14.0
Y-28.0
X-28.0
Y28.0
X14.0
Y-10.0
X4.0
Y-8.0
X-8.0
Y8.0
X4.0
G90
G00 Z110.0
(&lt;&lt;&lt;END SUB TopPocket)</v>
      </c>
      <c r="M83" s="8" t="s">
        <v>198</v>
      </c>
      <c r="N83" s="8"/>
      <c r="O83" s="7" t="s">
        <v>102</v>
      </c>
      <c r="P83" s="64" t="s">
        <v>198</v>
      </c>
      <c r="R83" s="7" t="str">
        <f>IF(VPocket_Y2=0,"","G00 Y" &amp; TEXT((VPocket_Y2+MaleOffset-0.05)*mm,"#####.00")&amp;CHAR(10)&amp;s_DXVPocket)</f>
        <v>G00 Y264.56
(&gt;&gt;&gt;SUB DXVPocket)
G91
G01 Y42.0 Z-50.8 F2500
X-42
Y-86.0
X42
Y86 
G90
G00Z50.0
(&lt;&lt;&lt;SUB DXVPocket)</v>
      </c>
      <c r="T83" s="7" t="s">
        <v>114</v>
      </c>
    </row>
    <row r="84" spans="2:20" x14ac:dyDescent="0.25">
      <c r="C84" s="8" t="s">
        <v>198</v>
      </c>
      <c r="E84" s="8" t="s">
        <v>198</v>
      </c>
      <c r="F84" s="7" t="str">
        <f>"G00 X "&amp;1244.05&amp;" Y"&amp;TEXT((BaseCeilingDYCutOff-DiffLength)*mm,"#####.00")</f>
        <v>G00 X 1244.05 Y3054.50</v>
      </c>
      <c r="G84" s="8" t="s">
        <v>198</v>
      </c>
      <c r="H84" s="7" t="str">
        <f>"G00 X "&amp;1244.05&amp;" Y"&amp;TEXT((BaseCeilingDYCutOff-DiffLength)*mm,"#####.00")</f>
        <v>G00 X 1244.05 Y3054.50</v>
      </c>
      <c r="I84" s="8" t="s">
        <v>198</v>
      </c>
      <c r="K84" s="8" t="s">
        <v>198</v>
      </c>
      <c r="L84" s="7" t="s">
        <v>307</v>
      </c>
      <c r="M84" s="8" t="s">
        <v>198</v>
      </c>
      <c r="N84" s="8"/>
      <c r="O84" s="60" t="str">
        <f>IF(VPocket_Y4=0,"","G00 X-15.0 Y" &amp; TEXT((VPocket_Y4+MaleOffset)*mm,"#####.00")&amp;CHAR(10)&amp;s_X0VPocket)</f>
        <v>G00 X-15.0 Y1535.83
(&gt;&gt;&gt;SUB X0VPocket)
G91
G01 Y-42.0  Z-50.8 F2500
X52.46
Y84.0
X-52.46
G90
G00 Z50.0
G00 X-25.0
(&lt;&lt;&lt;SUB X0VPocket)</v>
      </c>
      <c r="P84" s="64" t="s">
        <v>198</v>
      </c>
      <c r="R84" s="7" t="s">
        <v>111</v>
      </c>
      <c r="T84" s="7" t="str">
        <f>IF(VPocket_Y6=0,"","G00 Y" &amp; TEXT((VPocket_Y6+MaleOffset)*mm,"#####.00")&amp;CHAR(10)&amp;s_DXVPocket)</f>
        <v>G00 Y2805.83
(&gt;&gt;&gt;SUB DXVPocket)
G91
G01 Y42.0 Z-50.8 F2500
X-42
Y-86.0
X42
Y86 
G90
G00Z50.0
(&lt;&lt;&lt;SUB DXVPocket)</v>
      </c>
    </row>
    <row r="85" spans="2:20" x14ac:dyDescent="0.25">
      <c r="B85" s="7" t="s">
        <v>109</v>
      </c>
      <c r="C85" s="8" t="s">
        <v>198</v>
      </c>
      <c r="D85" s="7" t="s">
        <v>109</v>
      </c>
      <c r="E85" s="8" t="s">
        <v>198</v>
      </c>
      <c r="G85" s="8" t="s">
        <v>198</v>
      </c>
      <c r="I85" s="8" t="s">
        <v>198</v>
      </c>
      <c r="J85" s="7" t="s">
        <v>153</v>
      </c>
      <c r="K85" s="8" t="s">
        <v>198</v>
      </c>
      <c r="L85" s="7" t="str">
        <f>IF(TopPocket_Y8=0,"","G00 X" &amp;TEXT((BaseWidth-CeilingEndWidth+2.125-0.038)*mm,"#####.00")&amp;" Y"&amp;TEXT((TopPocket_Y8)*mm,"#####.00")&amp;CHAR(10)&amp;s_TopPocket)</f>
        <v>G00 X935.66 Y2844.80
(&gt;&gt;&gt;SUB TopPocket)
G00 Z66.93
G91
G01 Y44.0 F2500
X41.0
Y-85.0
X-85.0
Y85.0
X45.0
Y-10.0
X34.0
Y-68.0
X-68.0
Y68.0
X34.0
Y-10.0
X24.0
Y-48.0
X-48.0
Y48.0
X24.0
Y-10.0
X14.0
Y-28.0
X-28.0
Y28.0
X14.0
Y-10.0
X4.0
Y-8.0
X-8.0
Y8.0
X4.0
G90
G00 Z110.0
(&lt;&lt;&lt;END SUB TopPocket)</v>
      </c>
      <c r="M85" s="8" t="s">
        <v>198</v>
      </c>
      <c r="N85" s="8"/>
      <c r="O85" s="7" t="s">
        <v>103</v>
      </c>
      <c r="P85" s="64" t="s">
        <v>198</v>
      </c>
      <c r="R85" s="7" t="str">
        <f>IF(VPocket_Y3=0,"","G00 Y" &amp; TEXT((VPocket_Y3+MaleOffset)*mm,"#####.00")&amp;CHAR(10)&amp;s_DXVPocket)</f>
        <v/>
      </c>
      <c r="T85" s="7" t="s">
        <v>115</v>
      </c>
    </row>
    <row r="86" spans="2:20" x14ac:dyDescent="0.25">
      <c r="B86" s="7" t="str">
        <f>IF(VPocket_Y1=0,"","G00 Y" &amp; TEXT((VPocket_Y1+MaleOffset+0.625)*mm,"#####.00")&amp;CHAR(10)&amp;s_DXVPocket)</f>
        <v/>
      </c>
      <c r="C86" s="8" t="s">
        <v>198</v>
      </c>
      <c r="D86" s="7" t="str">
        <f>IF(VPocket_Y1=0,"","G00 Y" &amp; TEXT((VPocket_Y1+MaleOffset)*mm,"#####.00")&amp;CHAR(10)&amp;s_DXVPocket)</f>
        <v/>
      </c>
      <c r="E86" s="8" t="s">
        <v>198</v>
      </c>
      <c r="F86" s="7" t="str">
        <f>"G01 X-38.1 F"&amp;8000</f>
        <v>G01 X-38.1 F8000</v>
      </c>
      <c r="G86" s="8" t="s">
        <v>198</v>
      </c>
      <c r="H86" s="7" t="str">
        <f>"G01 X-38.1 F"&amp;8000</f>
        <v>G01 X-38.1 F8000</v>
      </c>
      <c r="I86" s="8" t="s">
        <v>198</v>
      </c>
      <c r="J86" s="7" t="str">
        <f>IF(TopPocket_XM=0,"","G00 X" &amp; TEXT((CeilingEndWidth-TopPocket_XM)*mm,"#####.00")&amp;" Y"&amp;TEXT((BaseTopFemaleDX-DiffLength)*mm,"#####.00")&amp;CHAR(10)&amp;s_TopPocket)</f>
        <v/>
      </c>
      <c r="K86" s="8" t="s">
        <v>198</v>
      </c>
      <c r="L86" s="7" t="s">
        <v>161</v>
      </c>
      <c r="M86" s="8" t="s">
        <v>198</v>
      </c>
      <c r="N86" s="8"/>
      <c r="O86" s="7" t="str">
        <f>IF(VPocket_Y3=0,"","G00 X-15.0 Y" &amp; TEXT((VPocket_Y3+MaleOffset)*mm,"#####.00")&amp;CHAR(10)&amp;s_X0VPocket)</f>
        <v/>
      </c>
      <c r="P86" s="64" t="s">
        <v>198</v>
      </c>
      <c r="R86" s="7" t="s">
        <v>112</v>
      </c>
      <c r="T86" s="7" t="str">
        <f>IF(VPocket_Y7=0,"","G00 Y" &amp; TEXT((VPocket_Y7+MaleOffset)*mm,"#####.00")&amp;CHAR(10)&amp;s_DXVPocket)</f>
        <v/>
      </c>
    </row>
    <row r="87" spans="2:20" x14ac:dyDescent="0.25">
      <c r="B87" s="7" t="s">
        <v>110</v>
      </c>
      <c r="C87" s="8" t="s">
        <v>198</v>
      </c>
      <c r="D87" s="7" t="s">
        <v>110</v>
      </c>
      <c r="E87" s="8" t="s">
        <v>198</v>
      </c>
      <c r="F87" s="7" t="s">
        <v>126</v>
      </c>
      <c r="G87" s="8" t="s">
        <v>198</v>
      </c>
      <c r="H87" s="7" t="s">
        <v>126</v>
      </c>
      <c r="I87" s="8" t="s">
        <v>198</v>
      </c>
      <c r="K87" s="8" t="s">
        <v>198</v>
      </c>
      <c r="L87" s="7" t="str">
        <f>IF(TopPocket_Y7=0,"","G00 X" &amp;TEXT((BaseWidth-CeilingEndWidth+2.125-0.038)*mm,"#####.00")&amp;" Y"&amp;TEXT((TopPocket_Y7)*mm,"#####.00")&amp;CHAR(10)&amp;s_TopPocket)</f>
        <v>G00 X935.66 Y1930.40
(&gt;&gt;&gt;SUB TopPocket)
G00 Z66.93
G91
G01 Y44.0 F2500
X41.0
Y-85.0
X-85.0
Y85.0
X45.0
Y-10.0
X34.0
Y-68.0
X-68.0
Y68.0
X34.0
Y-10.0
X24.0
Y-48.0
X-48.0
Y48.0
X24.0
Y-10.0
X14.0
Y-28.0
X-28.0
Y28.0
X14.0
Y-10.0
X4.0
Y-8.0
X-8.0
Y8.0
X4.0
G90
G00 Z110.0
(&lt;&lt;&lt;END SUB TopPocket)</v>
      </c>
      <c r="M87" s="8" t="s">
        <v>198</v>
      </c>
      <c r="N87" s="8"/>
      <c r="O87" s="7" t="s">
        <v>104</v>
      </c>
      <c r="P87" s="64" t="s">
        <v>198</v>
      </c>
      <c r="R87" s="7" t="str">
        <f>IF(VPocket_Y4=0,"","G00 Y" &amp; TEXT((VPocket_Y4+MaleOffset)*mm,"#####.00")&amp;CHAR(10)&amp;s_DXVPocket)</f>
        <v>G00 Y1535.83
(&gt;&gt;&gt;SUB DXVPocket)
G91
G01 Y42.0 Z-50.8 F2500
X-42
Y-86.0
X42
Y86 
G90
G00Z50.0
(&lt;&lt;&lt;SUB DXVPocket)</v>
      </c>
      <c r="T87" s="7" t="str">
        <f>"G00 Y"&amp;TEXT((BaseDYHPocket-DiffHeight)*mm,"#####.00")</f>
        <v>G00 Y3091.00</v>
      </c>
    </row>
    <row r="88" spans="2:20" x14ac:dyDescent="0.25">
      <c r="B88" s="7" t="str">
        <f>IF(VPocket_Y2=0,"","G00 Y" &amp; TEXT((VPocket_Y2+MaleOffset-0.05)*mm,"#####.00")&amp;CHAR(10)&amp;s_DXVPocket)</f>
        <v>G00 Y264.56
(&gt;&gt;&gt;SUB DXVPocket)
G91
G01 Y42.0 Z-50.8 F2500
X-42
Y-86.0
X42
Y86 
G90
G00Z50.0
(&lt;&lt;&lt;SUB DXVPocket)</v>
      </c>
      <c r="C88" s="8" t="s">
        <v>198</v>
      </c>
      <c r="D88" s="7" t="str">
        <f>IF(VPocket_Y2=0,"","G00 Y" &amp; TEXT((VPocket_Y2+MaleOffset-0.05)*mm,"#####.00")&amp;CHAR(10)&amp;s_DXVPocket)</f>
        <v>G00 Y264.56
(&gt;&gt;&gt;SUB DXVPocket)
G91
G01 Y42.0 Z-50.8 F2500
X-42
Y-86.0
X42
Y86 
G90
G00Z50.0
(&lt;&lt;&lt;SUB DXVPocket)</v>
      </c>
      <c r="E88" s="8" t="s">
        <v>198</v>
      </c>
      <c r="F88" s="7" t="s">
        <v>127</v>
      </c>
      <c r="G88" s="8" t="s">
        <v>198</v>
      </c>
      <c r="H88" s="7" t="s">
        <v>127</v>
      </c>
      <c r="I88" s="8" t="s">
        <v>198</v>
      </c>
      <c r="J88" s="7" t="s">
        <v>154</v>
      </c>
      <c r="K88" s="8" t="s">
        <v>198</v>
      </c>
      <c r="L88" s="7" t="s">
        <v>162</v>
      </c>
      <c r="M88" s="8" t="s">
        <v>198</v>
      </c>
      <c r="N88" s="8"/>
      <c r="O88" s="7" t="str">
        <f>IF(VPocket_Y2=0,"","G00 X-15.0 Y" &amp; TEXT((VPocket_Y2+MaleOffset)*mm,"#####.00")&amp;CHAR(10)&amp;s_X0VPocket)</f>
        <v>G00 X-15.0 Y265.83
(&gt;&gt;&gt;SUB X0VPocket)
G91
G01 Y-42.0  Z-50.8 F2500
X52.46
Y84.0
X-52.46
G90
G00 Z50.0
G00 X-25.0
(&lt;&lt;&lt;SUB X0VPocket)</v>
      </c>
      <c r="P88" s="64" t="s">
        <v>198</v>
      </c>
      <c r="R88" s="7" t="s">
        <v>113</v>
      </c>
    </row>
    <row r="89" spans="2:20" x14ac:dyDescent="0.25">
      <c r="B89" s="7" t="s">
        <v>111</v>
      </c>
      <c r="C89" s="8" t="s">
        <v>198</v>
      </c>
      <c r="D89" s="7" t="s">
        <v>111</v>
      </c>
      <c r="E89" s="8" t="s">
        <v>198</v>
      </c>
      <c r="G89" s="8" t="s">
        <v>198</v>
      </c>
      <c r="I89" s="8" t="s">
        <v>198</v>
      </c>
      <c r="J89" s="7" t="str">
        <f>IF(TopPocket_X0=0,"","G00 X" &amp; TEXT((CeilingEndWidth-TopPocket_X0)*mm,"#####.00")&amp;" Y"&amp;TEXT((BaseTopFemaleDX-DiffLength-0.125)*mm,"#####.00")&amp;CHAR(10)&amp;s_TopPocket)</f>
        <v>G00 X44.45 Y2994.03
(&gt;&gt;&gt;SUB TopPocket)
G00 Z66.93
G91
G01 Y44.0 F2500
X41.0
Y-85.0
X-85.0
Y85.0
X45.0
Y-10.0
X34.0
Y-68.0
X-68.0
Y68.0
X34.0
Y-10.0
X24.0
Y-48.0
X-48.0
Y48.0
X24.0
Y-10.0
X14.0
Y-28.0
X-28.0
Y28.0
X14.0
Y-10.0
X4.0
Y-8.0
X-8.0
Y8.0
X4.0
G90
G00 Z110.0
(&lt;&lt;&lt;END SUB TopPocket)</v>
      </c>
      <c r="K89" s="8" t="s">
        <v>198</v>
      </c>
      <c r="L89" s="7" t="str">
        <f>IF(TopPocket_Y6=0,"","G00 X" &amp;TEXT((BaseWidth-CeilingEndWidth+2.125-0.038)*mm,"#####.00")&amp;" Y"&amp;TEXT((TopPocket_Y6)*mm,"#####.00")&amp;CHAR(10)&amp;s_TopPocket)</f>
        <v>G00 X935.66 Y1625.60
(&gt;&gt;&gt;SUB TopPocket)
G00 Z66.93
G91
G01 Y44.0 F2500
X41.0
Y-85.0
X-85.0
Y85.0
X45.0
Y-10.0
X34.0
Y-68.0
X-68.0
Y68.0
X34.0
Y-10.0
X24.0
Y-48.0
X-48.0
Y48.0
X24.0
Y-10.0
X14.0
Y-28.0
X-28.0
Y28.0
X14.0
Y-10.0
X4.0
Y-8.0
X-8.0
Y8.0
X4.0
G90
G00 Z110.0
(&lt;&lt;&lt;END SUB TopPocket)</v>
      </c>
      <c r="M89" s="8" t="s">
        <v>198</v>
      </c>
      <c r="N89" s="8"/>
      <c r="O89" s="7" t="s">
        <v>105</v>
      </c>
      <c r="P89" s="64" t="s">
        <v>198</v>
      </c>
      <c r="R89" s="7" t="str">
        <f>IF(VPocket_Y5=0,"","G00 Y" &amp; TEXT((VPocket_Y5+MaleOffset)*mm,"#####.00")&amp;CHAR(10)&amp;s_DXVPocket)</f>
        <v/>
      </c>
      <c r="T89" s="7" t="s">
        <v>47</v>
      </c>
    </row>
    <row r="90" spans="2:20" x14ac:dyDescent="0.25">
      <c r="B90" s="7" t="str">
        <f>IF(VPocket_Y3=0,"","G00 Y" &amp; TEXT((VPocket_Y3+MaleOffset+0.625)*mm,"#####.00")&amp;CHAR(10)&amp;s_DXVPocket)</f>
        <v/>
      </c>
      <c r="C90" s="8" t="s">
        <v>198</v>
      </c>
      <c r="D90" s="7" t="str">
        <f>IF(VPocket_Y3=0,"","G00 Y" &amp; TEXT((VPocket_Y3+MaleOffset)*mm,"#####.00")&amp;CHAR(10)&amp;s_DXVPocket)</f>
        <v/>
      </c>
      <c r="E90" s="8" t="s">
        <v>198</v>
      </c>
      <c r="F90" s="7" t="s">
        <v>81</v>
      </c>
      <c r="G90" s="8" t="s">
        <v>198</v>
      </c>
      <c r="H90" s="7" t="s">
        <v>81</v>
      </c>
      <c r="I90" s="8" t="s">
        <v>198</v>
      </c>
      <c r="J90" s="7" t="s">
        <v>307</v>
      </c>
      <c r="K90" s="8" t="s">
        <v>198</v>
      </c>
      <c r="L90" s="7" t="s">
        <v>163</v>
      </c>
      <c r="M90" s="8" t="s">
        <v>198</v>
      </c>
      <c r="N90" s="8"/>
      <c r="O90" s="59" t="str">
        <f>IF(VPocket_Y1=0,"","G00 X-15.0 Y" &amp; TEXT((VPocket_Y1+MaleOffset)*mm,"#####.00")&amp;CHAR(10)&amp;s_X0VPocket)</f>
        <v/>
      </c>
      <c r="P90" s="64" t="s">
        <v>198</v>
      </c>
      <c r="R90" s="7" t="s">
        <v>114</v>
      </c>
      <c r="T90" s="7" t="str">
        <f>"G00 X "&amp;1244.05&amp;" Y"&amp;TEXT((BaseDYCutOff-DiffHeight)*mm,"#####.00")</f>
        <v>G00 X 1244.05 Y3069.50</v>
      </c>
    </row>
    <row r="91" spans="2:20" x14ac:dyDescent="0.25">
      <c r="B91" s="7" t="s">
        <v>112</v>
      </c>
      <c r="C91" s="8" t="s">
        <v>198</v>
      </c>
      <c r="D91" s="7" t="s">
        <v>112</v>
      </c>
      <c r="E91" s="8" t="s">
        <v>198</v>
      </c>
      <c r="F91" s="7" t="s">
        <v>120</v>
      </c>
      <c r="G91" s="8" t="s">
        <v>198</v>
      </c>
      <c r="H91" s="7" t="s">
        <v>120</v>
      </c>
      <c r="I91" s="8" t="s">
        <v>198</v>
      </c>
      <c r="J91" s="7" t="str">
        <f>IF(TopPocket_Y8=0,"","G00 X" &amp;TEXT((CeilingEndWidth-2.125+0.4+0.0252)*mm,"#####.00")&amp;" Y"&amp;TEXT((TopPocket_Y8)*mm,"#####.00")&amp;CHAR(10)&amp;s_TopPocket)</f>
        <v>G00 X255.28 Y2844.80
(&gt;&gt;&gt;SUB TopPocket)
G00 Z66.93
G91
G01 Y44.0 F2500
X41.0
Y-85.0
X-85.0
Y85.0
X45.0
Y-10.0
X34.0
Y-68.0
X-68.0
Y68.0
X34.0
Y-10.0
X24.0
Y-48.0
X-48.0
Y48.0
X24.0
Y-10.0
X14.0
Y-28.0
X-28.0
Y28.0
X14.0
Y-10.0
X4.0
Y-8.0
X-8.0
Y8.0
X4.0
G90
G00 Z110.0
(&lt;&lt;&lt;END SUB TopPocket)</v>
      </c>
      <c r="K91" s="8" t="s">
        <v>198</v>
      </c>
      <c r="L91" s="7" t="str">
        <f>IF(TopPocket_Y5=0,"","G00 X" &amp;TEXT((BaseWidth-CeilingEndWidth+2.125-0.038)*mm,"#####.00")&amp;" Y"&amp;TEXT((TopPocket_Y5)*mm,"#####.00")&amp;CHAR(10)&amp;s_TopPocket)</f>
        <v>G00 X935.66 Y1320.80
(&gt;&gt;&gt;SUB TopPocket)
G00 Z66.93
G91
G01 Y44.0 F2500
X41.0
Y-85.0
X-85.0
Y85.0
X45.0
Y-10.0
X34.0
Y-68.0
X-68.0
Y68.0
X34.0
Y-10.0
X24.0
Y-48.0
X-48.0
Y48.0
X24.0
Y-10.0
X14.0
Y-28.0
X-28.0
Y28.0
X14.0
Y-10.0
X4.0
Y-8.0
X-8.0
Y8.0
X4.0
G90
G00 Z110.0
(&lt;&lt;&lt;END SUB TopPocket)</v>
      </c>
      <c r="M91" s="8" t="s">
        <v>198</v>
      </c>
      <c r="N91" s="8"/>
      <c r="P91" s="64" t="s">
        <v>198</v>
      </c>
      <c r="R91" s="7" t="str">
        <f>IF(VPocket_Y6=0,"","G00 Y" &amp; TEXT((VPocket_Y6+MaleOffset)*mm,"#####.00")&amp;CHAR(10)&amp;s_DXVPocket)</f>
        <v>G00 Y2805.83
(&gt;&gt;&gt;SUB DXVPocket)
G91
G01 Y42.0 Z-50.8 F2500
X-42
Y-86.0
X42
Y86 
G90
G00Z50.0
(&lt;&lt;&lt;SUB DXVPocket)</v>
      </c>
    </row>
    <row r="92" spans="2:20" x14ac:dyDescent="0.25">
      <c r="B92" s="7" t="str">
        <f>IF(VPocket_Y4=0,"","G00 Y" &amp; TEXT((VPocket_Y4+MaleOffset)*mm,"#####.00")&amp;CHAR(10)&amp;s_DXVPocket)</f>
        <v>G00 Y1535.83
(&gt;&gt;&gt;SUB DXVPocket)
G91
G01 Y42.0 Z-50.8 F2500
X-42
Y-86.0
X42
Y86 
G90
G00Z50.0
(&lt;&lt;&lt;SUB DXVPocket)</v>
      </c>
      <c r="C92" s="8" t="s">
        <v>198</v>
      </c>
      <c r="D92" s="7" t="str">
        <f>IF(VPocket_Y4=0,"","G00 Y" &amp; TEXT((VPocket_Y4+MaleOffset)*mm,"#####.00")&amp;CHAR(10)&amp;s_DXVPocket)</f>
        <v>G00 Y1535.83
(&gt;&gt;&gt;SUB DXVPocket)
G91
G01 Y42.0 Z-50.8 F2500
X-42
Y-86.0
X42
Y86 
G90
G00Z50.0
(&lt;&lt;&lt;SUB DXVPocket)</v>
      </c>
      <c r="E92" s="8" t="s">
        <v>198</v>
      </c>
      <c r="G92" s="8" t="s">
        <v>198</v>
      </c>
      <c r="I92" s="8" t="s">
        <v>198</v>
      </c>
      <c r="J92" s="7" t="s">
        <v>161</v>
      </c>
      <c r="K92" s="8" t="s">
        <v>198</v>
      </c>
      <c r="L92" s="7" t="s">
        <v>164</v>
      </c>
      <c r="M92" s="8" t="s">
        <v>198</v>
      </c>
      <c r="N92" s="8"/>
      <c r="O92" s="7" t="s">
        <v>121</v>
      </c>
      <c r="P92" s="64" t="s">
        <v>198</v>
      </c>
      <c r="R92" s="7" t="s">
        <v>115</v>
      </c>
      <c r="T92" s="7" t="str">
        <f>"G01 X-38.1 F"&amp;8000</f>
        <v>G01 X-38.1 F8000</v>
      </c>
    </row>
    <row r="93" spans="2:20" x14ac:dyDescent="0.25">
      <c r="B93" s="7" t="s">
        <v>113</v>
      </c>
      <c r="C93" s="8" t="s">
        <v>198</v>
      </c>
      <c r="D93" s="7" t="s">
        <v>113</v>
      </c>
      <c r="E93" s="8" t="s">
        <v>198</v>
      </c>
      <c r="F93" s="7" t="s">
        <v>31</v>
      </c>
      <c r="G93" s="8" t="s">
        <v>198</v>
      </c>
      <c r="H93" s="7" t="s">
        <v>31</v>
      </c>
      <c r="I93" s="8" t="s">
        <v>198</v>
      </c>
      <c r="J93" s="7" t="str">
        <f>IF(TopPocket_Y7=0,"","G00 X" &amp;TEXT((CeilingEndWidth-2.125+0.4+0.0252)*mm,"#####.00")&amp;" Y"&amp;TEXT((TopPocket_Y7)*mm,"#####.00")&amp;CHAR(10)&amp;s_TopPocket)</f>
        <v>G00 X255.28 Y1930.40
(&gt;&gt;&gt;SUB TopPocket)
G00 Z66.93
G91
G01 Y44.0 F2500
X41.0
Y-85.0
X-85.0
Y85.0
X45.0
Y-10.0
X34.0
Y-68.0
X-68.0
Y68.0
X34.0
Y-10.0
X24.0
Y-48.0
X-48.0
Y48.0
X24.0
Y-10.0
X14.0
Y-28.0
X-28.0
Y28.0
X14.0
Y-10.0
X4.0
Y-8.0
X-8.0
Y8.0
X4.0
G90
G00 Z110.0
(&lt;&lt;&lt;END SUB TopPocket)</v>
      </c>
      <c r="K93" s="8" t="s">
        <v>198</v>
      </c>
      <c r="L93" s="7" t="str">
        <f>IF(TopPocket_Y4=0,"","G00 X" &amp;TEXT((BaseWidth-CeilingEndWidth+2.125-0.038)*mm,"#####.00")&amp;" Y"&amp;TEXT((TopPocket_Y4)*mm,"#####.00")&amp;CHAR(10)&amp;s_TopPocket)</f>
        <v>G00 X935.66 Y1016.00
(&gt;&gt;&gt;SUB TopPocket)
G00 Z66.93
G91
G01 Y44.0 F2500
X41.0
Y-85.0
X-85.0
Y85.0
X45.0
Y-10.0
X34.0
Y-68.0
X-68.0
Y68.0
X34.0
Y-10.0
X24.0
Y-48.0
X-48.0
Y48.0
X24.0
Y-10.0
X14.0
Y-28.0
X-28.0
Y28.0
X14.0
Y-10.0
X4.0
Y-8.0
X-8.0
Y8.0
X4.0
G90
G00 Z110.0
(&lt;&lt;&lt;END SUB TopPocket)</v>
      </c>
      <c r="M93" s="8" t="s">
        <v>198</v>
      </c>
      <c r="N93" s="8"/>
      <c r="P93" s="64" t="s">
        <v>198</v>
      </c>
      <c r="R93" s="7" t="str">
        <f>IF(VPocket_Y7=0,"","G00 Y" &amp; TEXT((VPocket_Y7+MaleOffset)*mm,"#####.00")&amp;CHAR(10)&amp;s_DXVPocket)</f>
        <v/>
      </c>
      <c r="T93" s="7" t="s">
        <v>126</v>
      </c>
    </row>
    <row r="94" spans="2:20" x14ac:dyDescent="0.25">
      <c r="B94" s="7" t="str">
        <f>IF(VPocket_Y5=0,"","G00 Y" &amp; TEXT((VPocket_Y5+MaleOffset+0.625)*mm,"#####.00")&amp;CHAR(10)&amp;s_DXVPocket)</f>
        <v/>
      </c>
      <c r="C94" s="8" t="s">
        <v>198</v>
      </c>
      <c r="D94" s="7" t="str">
        <f>IF(VPocket_Y5=0,"","G00 Y" &amp; TEXT((VPocket_Y5+MaleOffset)*mm,"#####.00")&amp;CHAR(10)&amp;s_DXVPocket)</f>
        <v/>
      </c>
      <c r="E94" s="8" t="s">
        <v>198</v>
      </c>
      <c r="F94" s="7" t="s">
        <v>32</v>
      </c>
      <c r="G94" s="8" t="s">
        <v>198</v>
      </c>
      <c r="H94" s="7" t="s">
        <v>32</v>
      </c>
      <c r="I94" s="8" t="s">
        <v>198</v>
      </c>
      <c r="J94" s="7" t="s">
        <v>162</v>
      </c>
      <c r="K94" s="8" t="s">
        <v>198</v>
      </c>
      <c r="L94" s="7" t="s">
        <v>165</v>
      </c>
      <c r="M94" s="8" t="s">
        <v>198</v>
      </c>
      <c r="N94" s="8"/>
      <c r="O94" s="7" t="str">
        <f>"G00 X" &amp;TEXT((BaseDXVPocket-DIffWidth+0.0625)*mm,"#####.00")</f>
        <v>G00 X327.98</v>
      </c>
      <c r="P94" s="64" t="s">
        <v>198</v>
      </c>
      <c r="T94" s="7" t="s">
        <v>127</v>
      </c>
    </row>
    <row r="95" spans="2:20" x14ac:dyDescent="0.25">
      <c r="B95" s="7" t="s">
        <v>114</v>
      </c>
      <c r="C95" s="8" t="s">
        <v>198</v>
      </c>
      <c r="D95" s="7" t="s">
        <v>114</v>
      </c>
      <c r="E95" s="8" t="s">
        <v>198</v>
      </c>
      <c r="F95" s="7" t="s">
        <v>131</v>
      </c>
      <c r="G95" s="8" t="s">
        <v>198</v>
      </c>
      <c r="H95" s="7" t="s">
        <v>131</v>
      </c>
      <c r="I95" s="8" t="s">
        <v>198</v>
      </c>
      <c r="J95" s="7" t="str">
        <f>IF(TopPocket_Y6=0,"","G00 X" &amp;TEXT((CeilingEndWidth-2.125+0.4+0.0252)*mm,"#####.00")&amp;" Y"&amp;TEXT((TopPocket_Y6)*mm,"#####.00")&amp;CHAR(10)&amp;s_TopPocket)</f>
        <v>G00 X255.28 Y1625.60
(&gt;&gt;&gt;SUB TopPocket)
G00 Z66.93
G91
G01 Y44.0 F2500
X41.0
Y-85.0
X-85.0
Y85.0
X45.0
Y-10.0
X34.0
Y-68.0
X-68.0
Y68.0
X34.0
Y-10.0
X24.0
Y-48.0
X-48.0
Y48.0
X24.0
Y-10.0
X14.0
Y-28.0
X-28.0
Y28.0
X14.0
Y-10.0
X4.0
Y-8.0
X-8.0
Y8.0
X4.0
G90
G00 Z110.0
(&lt;&lt;&lt;END SUB TopPocket)</v>
      </c>
      <c r="K95" s="8" t="s">
        <v>198</v>
      </c>
      <c r="L95" s="7" t="str">
        <f>IF(TopPocket_Y3=0,"","G00 X" &amp;TEXT((BaseWidth-CeilingEndWidth+2.125-0.038)*mm,"#####.00")&amp;" Y"&amp;TEXT((TopPocket_Y3)*mm,"#####.00")&amp;CHAR(10)&amp;s_TopPocket)</f>
        <v>G00 X935.66 Y711.20
(&gt;&gt;&gt;SUB TopPocket)
G00 Z66.93
G91
G01 Y44.0 F2500
X41.0
Y-85.0
X-85.0
Y85.0
X45.0
Y-10.0
X34.0
Y-68.0
X-68.0
Y68.0
X34.0
Y-10.0
X24.0
Y-48.0
X-48.0
Y48.0
X24.0
Y-10.0
X14.0
Y-28.0
X-28.0
Y28.0
X14.0
Y-10.0
X4.0
Y-8.0
X-8.0
Y8.0
X4.0
G90
G00 Z110.0
(&lt;&lt;&lt;END SUB TopPocket)</v>
      </c>
      <c r="M95" s="8" t="s">
        <v>198</v>
      </c>
      <c r="N95" s="8"/>
      <c r="P95" s="64" t="s">
        <v>198</v>
      </c>
      <c r="R95" s="7" t="str">
        <f>"G00 Y"&amp;TEXT((BaseDYHPocket-DiffHeight)*mm-15,"#####.00")</f>
        <v>G00 Y3076.00</v>
      </c>
    </row>
    <row r="96" spans="2:20" x14ac:dyDescent="0.25">
      <c r="B96" s="7" t="str">
        <f>IF(VPocket_Y6=0,"","G00 Y" &amp; TEXT((VPocket_Y6+MaleOffset)*mm,"#####.00")&amp;CHAR(10)&amp;s_DXVPocket)</f>
        <v>G00 Y2805.83
(&gt;&gt;&gt;SUB DXVPocket)
G91
G01 Y42.0 Z-50.8 F2500
X-42
Y-86.0
X42
Y86 
G90
G00Z50.0
(&lt;&lt;&lt;SUB DXVPocket)</v>
      </c>
      <c r="C96" s="8" t="s">
        <v>198</v>
      </c>
      <c r="D96" s="7" t="str">
        <f>IF(VPocket_Y6=0,"","G00 Y" &amp; TEXT((VPocket_Y6+MaleOffset)*mm,"#####.00")&amp;CHAR(10)&amp;s_DXVPocket)</f>
        <v>G00 Y2805.83
(&gt;&gt;&gt;SUB DXVPocket)
G91
G01 Y42.0 Z-50.8 F2500
X-42
Y-86.0
X42
Y86 
G90
G00Z50.0
(&lt;&lt;&lt;SUB DXVPocket)</v>
      </c>
      <c r="E96" s="8" t="s">
        <v>198</v>
      </c>
      <c r="F96" s="7" t="s">
        <v>285</v>
      </c>
      <c r="G96" s="8" t="s">
        <v>198</v>
      </c>
      <c r="H96" s="7" t="s">
        <v>285</v>
      </c>
      <c r="I96" s="8" t="s">
        <v>198</v>
      </c>
      <c r="J96" s="7" t="s">
        <v>163</v>
      </c>
      <c r="K96" s="8" t="s">
        <v>198</v>
      </c>
      <c r="L96" s="7" t="s">
        <v>166</v>
      </c>
      <c r="M96" s="8" t="s">
        <v>198</v>
      </c>
      <c r="N96" s="8"/>
      <c r="O96" s="7" t="s">
        <v>109</v>
      </c>
      <c r="P96" s="64" t="s">
        <v>198</v>
      </c>
      <c r="T96" s="7" t="s">
        <v>81</v>
      </c>
    </row>
    <row r="97" spans="2:20" x14ac:dyDescent="0.25">
      <c r="B97" s="7" t="s">
        <v>115</v>
      </c>
      <c r="C97" s="8" t="s">
        <v>198</v>
      </c>
      <c r="D97" s="7" t="s">
        <v>115</v>
      </c>
      <c r="E97" s="8" t="s">
        <v>198</v>
      </c>
      <c r="F97" s="7" t="s">
        <v>132</v>
      </c>
      <c r="G97" s="8" t="s">
        <v>198</v>
      </c>
      <c r="H97" s="7" t="s">
        <v>132</v>
      </c>
      <c r="I97" s="8" t="s">
        <v>198</v>
      </c>
      <c r="J97" s="7" t="str">
        <f>IF(TopPocket_Y5=0,"","G00 X" &amp;TEXT((CeilingEndWidth-2.125+0.4+0.0252)*mm,"#####.00")&amp;" Y"&amp;TEXT((TopPocket_Y5)*mm,"#####.00")&amp;CHAR(10)&amp;s_TopPocket)</f>
        <v>G00 X255.28 Y1320.80
(&gt;&gt;&gt;SUB TopPocket)
G00 Z66.93
G91
G01 Y44.0 F2500
X41.0
Y-85.0
X-85.0
Y85.0
X45.0
Y-10.0
X34.0
Y-68.0
X-68.0
Y68.0
X34.0
Y-10.0
X24.0
Y-48.0
X-48.0
Y48.0
X24.0
Y-10.0
X14.0
Y-28.0
X-28.0
Y28.0
X14.0
Y-10.0
X4.0
Y-8.0
X-8.0
Y8.0
X4.0
G90
G00 Z110.0
(&lt;&lt;&lt;END SUB TopPocket)</v>
      </c>
      <c r="K97" s="8" t="s">
        <v>198</v>
      </c>
      <c r="L97" s="7" t="str">
        <f>IF(TopPocket_Y2=0,"","G00 X" &amp;TEXT((BaseWidth-CeilingEndWidth+2.125-0.038)*mm,"#####.00")&amp;" Y"&amp;TEXT((TopPocket_Y2)*mm,"#####.00")&amp;CHAR(10)&amp;s_TopPocket)</f>
        <v>G00 X935.66 Y406.40
(&gt;&gt;&gt;SUB TopPocket)
G00 Z66.93
G91
G01 Y44.0 F2500
X41.0
Y-85.0
X-85.0
Y85.0
X45.0
Y-10.0
X34.0
Y-68.0
X-68.0
Y68.0
X34.0
Y-10.0
X24.0
Y-48.0
X-48.0
Y48.0
X24.0
Y-10.0
X14.0
Y-28.0
X-28.0
Y28.0
X14.0
Y-10.0
X4.0
Y-8.0
X-8.0
Y8.0
X4.0
G90
G00 Z110.0
(&lt;&lt;&lt;END SUB TopPocket)</v>
      </c>
      <c r="M97" s="8" t="s">
        <v>198</v>
      </c>
      <c r="N97" s="8"/>
      <c r="O97" s="59" t="str">
        <f>IF(VPocket_Y1=0,"","G00 Y" &amp; TEXT((VPocket_Y1+MaleOffset)*mm,"#####.00")&amp;CHAR(10)&amp;s_DXVPocket)</f>
        <v/>
      </c>
      <c r="P97" s="64" t="s">
        <v>198</v>
      </c>
      <c r="R97" s="7" t="s">
        <v>119</v>
      </c>
      <c r="T97" s="7" t="s">
        <v>120</v>
      </c>
    </row>
    <row r="98" spans="2:20" x14ac:dyDescent="0.25">
      <c r="B98" s="7" t="str">
        <f>IF(VPocket_Y7=0,"","G00 Y" &amp; TEXT((VPocket_Y7+MaleOffset+0.625)*mm,"#####.00")&amp;CHAR(10)&amp;s_DXVPocket)</f>
        <v/>
      </c>
      <c r="C98" s="8" t="s">
        <v>198</v>
      </c>
      <c r="D98" s="7" t="str">
        <f>IF(VPocket_Y7=0,"","G00 Y" &amp; TEXT((VPocket_Y7+MaleOffset)*mm,"#####.00")&amp;CHAR(10)&amp;s_DXVPocket)</f>
        <v/>
      </c>
      <c r="E98" s="8" t="s">
        <v>198</v>
      </c>
      <c r="F98" s="7" t="str">
        <f>"G00 Y3100.0 Z"&amp;T6Z</f>
        <v>G00 Y3100.0 Z80.647</v>
      </c>
      <c r="G98" s="8" t="s">
        <v>198</v>
      </c>
      <c r="H98" s="7" t="str">
        <f>"G00 Y3100.0 Z"&amp;T6Z</f>
        <v>G00 Y3100.0 Z80.647</v>
      </c>
      <c r="I98" s="8" t="s">
        <v>198</v>
      </c>
      <c r="J98" s="7" t="s">
        <v>164</v>
      </c>
      <c r="K98" s="8" t="s">
        <v>198</v>
      </c>
      <c r="L98" s="7" t="s">
        <v>167</v>
      </c>
      <c r="M98" s="8" t="s">
        <v>198</v>
      </c>
      <c r="N98" s="8"/>
      <c r="O98" s="7" t="s">
        <v>110</v>
      </c>
      <c r="P98" s="64" t="s">
        <v>198</v>
      </c>
      <c r="R98" s="7" t="str">
        <f>IF(Hpocket_DX=0,"","G00 X"&amp;TEXT((Hpocket_DX+0.25)*mm,"#####.00")&amp;"Y"&amp;TEXT((BaseDYHPocket-DiffHeight+0.5)*mm,"#####.00")&amp;CHAR(10)&amp;s_DYHPocket)</f>
        <v/>
      </c>
    </row>
    <row r="99" spans="2:20" x14ac:dyDescent="0.25">
      <c r="C99" s="8" t="s">
        <v>198</v>
      </c>
      <c r="D99" s="7" t="str">
        <f>"G00 Y"&amp;TEXT((BaseDYHPocket-DiffHeight)*mm,"#####.00")</f>
        <v>G00 Y3091.00</v>
      </c>
      <c r="E99" s="8" t="s">
        <v>198</v>
      </c>
      <c r="F99" s="7" t="s">
        <v>35</v>
      </c>
      <c r="G99" s="8" t="s">
        <v>198</v>
      </c>
      <c r="H99" s="7" t="s">
        <v>35</v>
      </c>
      <c r="I99" s="8" t="s">
        <v>198</v>
      </c>
      <c r="J99" s="7" t="str">
        <f>IF(TopPocket_Y4=0,"","G00 X" &amp;TEXT((CeilingEndWidth-2.125+0.4+0.0252)*mm,"#####.00")&amp;" Y"&amp;TEXT((TopPocket_Y4)*mm,"#####.00")&amp;CHAR(10)&amp;s_TopPocket)</f>
        <v>G00 X255.28 Y1016.00
(&gt;&gt;&gt;SUB TopPocket)
G00 Z66.93
G91
G01 Y44.0 F2500
X41.0
Y-85.0
X-85.0
Y85.0
X45.0
Y-10.0
X34.0
Y-68.0
X-68.0
Y68.0
X34.0
Y-10.0
X24.0
Y-48.0
X-48.0
Y48.0
X24.0
Y-10.0
X14.0
Y-28.0
X-28.0
Y28.0
X14.0
Y-10.0
X4.0
Y-8.0
X-8.0
Y8.0
X4.0
G90
G00 Z110.0
(&lt;&lt;&lt;END SUB TopPocket)</v>
      </c>
      <c r="K99" s="8" t="s">
        <v>198</v>
      </c>
      <c r="L99" s="7" t="str">
        <f>IF(TopPocket_Y1=0,"","G00 X" &amp;TEXT((BaseWidth-CeilingEndWidth+2.125-0.038)*mm,"#####.00")&amp;" Y"&amp;TEXT((TopPocket_Y1)*mm,"#####.00")&amp;CHAR(10)&amp;s_TopPocket)</f>
        <v>G00 X935.66 Y203.20
(&gt;&gt;&gt;SUB TopPocket)
G00 Z66.93
G91
G01 Y44.0 F2500
X41.0
Y-85.0
X-85.0
Y85.0
X45.0
Y-10.0
X34.0
Y-68.0
X-68.0
Y68.0
X34.0
Y-10.0
X24.0
Y-48.0
X-48.0
Y48.0
X24.0
Y-10.0
X14.0
Y-28.0
X-28.0
Y28.0
X14.0
Y-10.0
X4.0
Y-8.0
X-8.0
Y8.0
X4.0
G90
G00 Z110.0
(&lt;&lt;&lt;END SUB TopPocket)</v>
      </c>
      <c r="M99" s="8" t="s">
        <v>198</v>
      </c>
      <c r="N99" s="8"/>
      <c r="O99" s="7" t="str">
        <f>IF(VPocket_Y2=0,"","G00 Y" &amp; TEXT((VPocket_Y2+MaleOffset)*mm,"#####.00")&amp;CHAR(10)&amp;s_DXVPocket)</f>
        <v>G00 Y265.83
(&gt;&gt;&gt;SUB DXVPocket)
G91
G01 Y42.0 Z-50.8 F2500
X-42
Y-86.0
X42
Y86 
G90
G00Z50.0
(&lt;&lt;&lt;SUB DXVPocket)</v>
      </c>
      <c r="P99" s="64" t="s">
        <v>198</v>
      </c>
      <c r="R99" s="7" t="s">
        <v>118</v>
      </c>
      <c r="T99" s="7" t="s">
        <v>81</v>
      </c>
    </row>
    <row r="100" spans="2:20" x14ac:dyDescent="0.25">
      <c r="B100" s="7" t="str">
        <f>"G00 Y"&amp;TEXT((BaseDYHPocket-DiffHeight+0.5+1)*mm,"#####.00")</f>
        <v>G00 Y3129.10</v>
      </c>
      <c r="C100" s="8" t="s">
        <v>198</v>
      </c>
      <c r="E100" s="8" t="s">
        <v>198</v>
      </c>
      <c r="F100" s="7" t="s">
        <v>86</v>
      </c>
      <c r="G100" s="8" t="s">
        <v>198</v>
      </c>
      <c r="H100" s="7" t="s">
        <v>86</v>
      </c>
      <c r="I100" s="8" t="s">
        <v>198</v>
      </c>
      <c r="J100" s="7" t="s">
        <v>165</v>
      </c>
      <c r="K100" s="8" t="s">
        <v>198</v>
      </c>
      <c r="M100" s="8" t="s">
        <v>198</v>
      </c>
      <c r="N100" s="8"/>
      <c r="O100" s="7" t="s">
        <v>111</v>
      </c>
      <c r="P100" s="64" t="s">
        <v>198</v>
      </c>
      <c r="R100" s="7" t="str">
        <f>IF(HPocket_XM=0,"","G00 X"&amp;TEXT((HPocket_XM)*mm,"#####.00")&amp;CHAR(10)&amp;s_DYHPocket)</f>
        <v/>
      </c>
      <c r="T100" s="7" t="s">
        <v>120</v>
      </c>
    </row>
    <row r="101" spans="2:20" x14ac:dyDescent="0.25">
      <c r="C101" s="8" t="s">
        <v>198</v>
      </c>
      <c r="D101" s="7" t="s">
        <v>47</v>
      </c>
      <c r="E101" s="8" t="s">
        <v>198</v>
      </c>
      <c r="F101" s="7" t="s">
        <v>133</v>
      </c>
      <c r="G101" s="8" t="s">
        <v>198</v>
      </c>
      <c r="H101" s="7" t="s">
        <v>133</v>
      </c>
      <c r="I101" s="8" t="s">
        <v>198</v>
      </c>
      <c r="J101" s="7" t="str">
        <f>IF(TopPocket_Y3=0,"","G00 X" &amp;TEXT((CeilingEndWidth-2.125+0.4+0.0252)*mm,"#####.00")&amp;" Y"&amp;TEXT((TopPocket_Y3)*mm,"#####.00")&amp;CHAR(10)&amp;s_TopPocket)</f>
        <v>G00 X255.28 Y711.20
(&gt;&gt;&gt;SUB TopPocket)
G00 Z66.93
G91
G01 Y44.0 F2500
X41.0
Y-85.0
X-85.0
Y85.0
X45.0
Y-10.0
X34.0
Y-68.0
X-68.0
Y68.0
X34.0
Y-10.0
X24.0
Y-48.0
X-48.0
Y48.0
X24.0
Y-10.0
X14.0
Y-28.0
X-28.0
Y28.0
X14.0
Y-10.0
X4.0
Y-8.0
X-8.0
Y8.0
X4.0
G90
G00 Z110.0
(&lt;&lt;&lt;END SUB TopPocket)</v>
      </c>
      <c r="K101" s="8" t="s">
        <v>198</v>
      </c>
      <c r="L101" s="7" t="s">
        <v>156</v>
      </c>
      <c r="M101" s="8" t="s">
        <v>198</v>
      </c>
      <c r="N101" s="8"/>
      <c r="O101" s="7" t="str">
        <f>IF(VPocket_Y3=0,"","G00 Y" &amp; TEXT((VPocket_Y3+MaleOffset)*mm,"#####.00")&amp;CHAR(10)&amp;s_DXVPocket)</f>
        <v/>
      </c>
      <c r="P101" s="64" t="s">
        <v>198</v>
      </c>
      <c r="R101" s="7" t="s">
        <v>117</v>
      </c>
    </row>
    <row r="102" spans="2:20" x14ac:dyDescent="0.25">
      <c r="B102" s="7" t="s">
        <v>119</v>
      </c>
      <c r="C102" s="8" t="s">
        <v>198</v>
      </c>
      <c r="D102" s="7" t="str">
        <f>"G00 X "&amp;1244.05&amp;" Y"&amp;TEXT((BaseDYCutOff-DiffHeight)*mm,"#####.00")</f>
        <v>G00 X 1244.05 Y3069.50</v>
      </c>
      <c r="E102" s="8" t="s">
        <v>198</v>
      </c>
      <c r="F102" s="7" t="str">
        <f>"G00 Y"&amp;TEXT((BaseTopFemaleDX-DiffLength)*mm,"#####.00")</f>
        <v>G00 Y2997.20</v>
      </c>
      <c r="G102" s="8" t="s">
        <v>198</v>
      </c>
      <c r="H102" s="7" t="str">
        <f>"G00 Y"&amp;TEXT((BaseTopFemaleDX-DiffLength)*mm,"#####.00")</f>
        <v>G00 Y2997.20</v>
      </c>
      <c r="I102" s="8" t="s">
        <v>198</v>
      </c>
      <c r="J102" s="7" t="s">
        <v>166</v>
      </c>
      <c r="K102" s="8" t="s">
        <v>198</v>
      </c>
      <c r="L102" s="7" t="str">
        <f>IF(TopPocket_X0=0,"","G00 X" &amp; TEXT((BaseWidth-CeilingEndWidth+TopPocket_X0)*mm,"#####.00")&amp;" Y53.98"&amp;CHAR(10)&amp;s_TopPocket)</f>
        <v>G00 X1136.65 Y53.98
(&gt;&gt;&gt;SUB TopPocket)
G00 Z66.93
G91
G01 Y44.0 F2500
X41.0
Y-85.0
X-85.0
Y85.0
X45.0
Y-10.0
X34.0
Y-68.0
X-68.0
Y68.0
X34.0
Y-10.0
X24.0
Y-48.0
X-48.0
Y48.0
X24.0
Y-10.0
X14.0
Y-28.0
X-28.0
Y28.0
X14.0
Y-10.0
X4.0
Y-8.0
X-8.0
Y8.0
X4.0
G90
G00 Z110.0
(&lt;&lt;&lt;END SUB TopPocket)</v>
      </c>
      <c r="M102" s="8" t="s">
        <v>198</v>
      </c>
      <c r="N102" s="8"/>
      <c r="O102" s="7" t="s">
        <v>112</v>
      </c>
      <c r="P102" s="64" t="s">
        <v>198</v>
      </c>
      <c r="R102" s="7" t="str">
        <f>IF(HPocket_X0=0,"","G00 X"&amp;TEXT((HPocket_X0+0.125)*mm,"#####.00")&amp;"Y"&amp;TEXT((BaseDYHPocket-DiffHeight+0.5)*mm,"#####.00")&amp;CHAR(10)&amp;s_DYHPocket)</f>
        <v>G00 X257.18Y3103.70
(&gt;&gt;&gt;SUB DYHPocket)
G91
G01 X-42.0 F2500
Y-61.6
X84.0
Y+61.6
X-84 Z-50.8
Y-61.6
X84.0
Y+61.6
X-42.0
G90
G00Z50.0
G00 Y3103.70
(&lt;&lt;&lt;SUB DYHPocket)</v>
      </c>
    </row>
    <row r="103" spans="2:20" x14ac:dyDescent="0.25">
      <c r="B103" s="7" t="str">
        <f>IF(Hpocket_DX=0,"","G00 X"&amp;TEXT((Hpocket_DX+0.25)*mm,"#####.00")&amp;"Y"&amp;TEXT((BaseDYHPocket-DiffHeight+0.5)*mm,"#####.00")&amp;CHAR(10)&amp;s_DYHPocket)</f>
        <v/>
      </c>
      <c r="C103" s="8" t="s">
        <v>198</v>
      </c>
      <c r="E103" s="8" t="s">
        <v>198</v>
      </c>
      <c r="G103" s="8" t="s">
        <v>198</v>
      </c>
      <c r="I103" s="8" t="s">
        <v>198</v>
      </c>
      <c r="J103" s="7" t="str">
        <f>IF(TopPocket_Y2=0,"","G00 X" &amp;TEXT((CeilingEndWidth-2.125+0.4+0.0252)*mm,"#####.00")&amp;" Y"&amp;TEXT((TopPocket_Y2)*mm,"#####.00")&amp;CHAR(10)&amp;s_TopPocket)</f>
        <v>G00 X255.28 Y406.40
(&gt;&gt;&gt;SUB TopPocket)
G00 Z66.93
G91
G01 Y44.0 F2500
X41.0
Y-85.0
X-85.0
Y85.0
X45.0
Y-10.0
X34.0
Y-68.0
X-68.0
Y68.0
X34.0
Y-10.0
X24.0
Y-48.0
X-48.0
Y48.0
X24.0
Y-10.0
X14.0
Y-28.0
X-28.0
Y28.0
X14.0
Y-10.0
X4.0
Y-8.0
X-8.0
Y8.0
X4.0
G90
G00 Z110.0
(&lt;&lt;&lt;END SUB TopPocket)</v>
      </c>
      <c r="K103" s="8" t="s">
        <v>198</v>
      </c>
      <c r="L103" s="7" t="s">
        <v>270</v>
      </c>
      <c r="M103" s="8" t="s">
        <v>198</v>
      </c>
      <c r="N103" s="8"/>
      <c r="O103" s="59" t="str">
        <f>IF(VPocket_Y4=0,"","G00 Y" &amp; TEXT((VPocket_Y4+MaleOffset)*mm,"#####.00")&amp;CHAR(10)&amp;s_DXVPocket)</f>
        <v>G00 Y1535.83
(&gt;&gt;&gt;SUB DXVPocket)
G91
G01 Y42.0 Z-50.8 F2500
X-42
Y-86.0
X42
Y86 
G90
G00Z50.0
(&lt;&lt;&lt;SUB DXVPocket)</v>
      </c>
      <c r="P103" s="64" t="s">
        <v>198</v>
      </c>
      <c r="R103" s="7" t="s">
        <v>81</v>
      </c>
    </row>
    <row r="104" spans="2:20" x14ac:dyDescent="0.25">
      <c r="B104" s="7" t="s">
        <v>118</v>
      </c>
      <c r="C104" s="8" t="s">
        <v>198</v>
      </c>
      <c r="D104" s="7" t="str">
        <f>"G01 X-38.1 F"&amp;8000</f>
        <v>G01 X-38.1 F8000</v>
      </c>
      <c r="E104" s="8" t="s">
        <v>198</v>
      </c>
      <c r="F104" s="7" t="str">
        <f>"G01 X-50.0 F"&amp;T6Feed</f>
        <v>G01 X-50.0 F4250</v>
      </c>
      <c r="G104" s="8" t="s">
        <v>198</v>
      </c>
      <c r="H104" s="7" t="str">
        <f>"G01 X-50.0 F"&amp;T6Feed</f>
        <v>G01 X-50.0 F4250</v>
      </c>
      <c r="I104" s="8" t="s">
        <v>198</v>
      </c>
      <c r="J104" s="7" t="s">
        <v>167</v>
      </c>
      <c r="K104" s="8" t="s">
        <v>198</v>
      </c>
      <c r="L104" s="7" t="str">
        <f>IF(TopPocket_XM=0,"","G00 X" &amp; TEXT((BaseWidth-CeilingEndWidth+TopPocket_XM)*mm,"#####.00")&amp;" Y50.8"&amp;CHAR(10)&amp;s_TopPocket)</f>
        <v/>
      </c>
      <c r="M104" s="8" t="s">
        <v>198</v>
      </c>
      <c r="N104" s="8"/>
      <c r="O104" s="7" t="s">
        <v>113</v>
      </c>
      <c r="P104" s="64" t="s">
        <v>198</v>
      </c>
      <c r="R104" s="7" t="s">
        <v>120</v>
      </c>
    </row>
    <row r="105" spans="2:20" x14ac:dyDescent="0.25">
      <c r="B105" s="7" t="str">
        <f>IF(HPocket_XM=0,"","G00 X"&amp;TEXT((HPocket_XM)*mm,"#####.00")&amp;CHAR(10)&amp;s_DYHPocket)</f>
        <v/>
      </c>
      <c r="C105" s="8" t="s">
        <v>198</v>
      </c>
      <c r="D105" s="7" t="s">
        <v>126</v>
      </c>
      <c r="E105" s="8" t="s">
        <v>198</v>
      </c>
      <c r="G105" s="8" t="s">
        <v>198</v>
      </c>
      <c r="I105" s="8" t="s">
        <v>198</v>
      </c>
      <c r="J105" s="7" t="str">
        <f>IF(TopPocket_Y1=0,"","G00 X" &amp;TEXT((CeilingEndWidth-2.125+0.4+0.0252)*mm,"#####.00")&amp;" Y"&amp;TEXT((TopPocket_Y1)*mm,"#####.00")&amp;CHAR(10)&amp;s_TopPocket)</f>
        <v>G00 X255.28 Y203.20
(&gt;&gt;&gt;SUB TopPocket)
G00 Z66.93
G91
G01 Y44.0 F2500
X41.0
Y-85.0
X-85.0
Y85.0
X45.0
Y-10.0
X34.0
Y-68.0
X-68.0
Y68.0
X34.0
Y-10.0
X24.0
Y-48.0
X-48.0
Y48.0
X24.0
Y-10.0
X14.0
Y-28.0
X-28.0
Y28.0
X14.0
Y-10.0
X4.0
Y-8.0
X-8.0
Y8.0
X4.0
G90
G00 Z110.0
(&lt;&lt;&lt;END SUB TopPocket)</v>
      </c>
      <c r="K105" s="8" t="s">
        <v>198</v>
      </c>
      <c r="L105" s="7" t="s">
        <v>273</v>
      </c>
      <c r="M105" s="8" t="s">
        <v>198</v>
      </c>
      <c r="N105" s="8"/>
      <c r="O105" s="7" t="str">
        <f>IF(VPocket_Y5=0,"","G00 Y" &amp; TEXT((VPocket_Y5+MaleOffset)*mm,"#####.00")&amp;CHAR(10)&amp;s_DXVPocket)</f>
        <v/>
      </c>
      <c r="P105" s="64" t="s">
        <v>198</v>
      </c>
      <c r="R105" s="84"/>
    </row>
    <row r="106" spans="2:20" x14ac:dyDescent="0.25">
      <c r="B106" s="7" t="s">
        <v>117</v>
      </c>
      <c r="C106" s="8" t="s">
        <v>198</v>
      </c>
      <c r="D106" s="7" t="s">
        <v>127</v>
      </c>
      <c r="E106" s="8" t="s">
        <v>198</v>
      </c>
      <c r="F106" s="7" t="s">
        <v>146</v>
      </c>
      <c r="G106" s="8" t="s">
        <v>198</v>
      </c>
      <c r="H106" s="7" t="s">
        <v>146</v>
      </c>
      <c r="I106" s="8" t="s">
        <v>198</v>
      </c>
      <c r="K106" s="8" t="s">
        <v>198</v>
      </c>
      <c r="L106" s="7" t="str">
        <f>IF(TopPocket_X1=0,"","G00 X" &amp; TEXT((BaseWidth-CeilingEndWidth+TopPocket_X1)*mm,"#####.00")&amp;" Y53.98"&amp;CHAR(10)&amp;s_TopPocket)</f>
        <v>G00 X1136.65 Y53.98
(&gt;&gt;&gt;SUB TopPocket)
G00 Z66.93
G91
G01 Y44.0 F2500
X41.0
Y-85.0
X-85.0
Y85.0
X45.0
Y-10.0
X34.0
Y-68.0
X-68.0
Y68.0
X34.0
Y-10.0
X24.0
Y-48.0
X-48.0
Y48.0
X24.0
Y-10.0
X14.0
Y-28.0
X-28.0
Y28.0
X14.0
Y-10.0
X4.0
Y-8.0
X-8.0
Y8.0
X4.0
G90
G00 Z110.0
(&lt;&lt;&lt;END SUB TopPocket)</v>
      </c>
      <c r="M106" s="8" t="s">
        <v>198</v>
      </c>
      <c r="N106" s="8"/>
      <c r="O106" s="7" t="s">
        <v>114</v>
      </c>
      <c r="P106" s="64" t="s">
        <v>198</v>
      </c>
      <c r="R106" s="84" t="s">
        <v>81</v>
      </c>
    </row>
    <row r="107" spans="2:20" x14ac:dyDescent="0.25">
      <c r="B107" s="7" t="str">
        <f>IF(HPocket_X0=0,"","G00 X"&amp;TEXT((HPocket_X0+0.125)*mm,"#####.00")&amp;"Y"&amp;TEXT((BaseDYHPocket-DiffHeight+0.5)*mm,"#####.00")&amp;CHAR(10)&amp;s_DYHPocket)</f>
        <v>G00 X257.18Y3103.70
(&gt;&gt;&gt;SUB DYHPocket)
G91
G01 X-42.0 F2500
Y-61.6
X84.0
Y+61.6
X-84 Z-50.8
Y-61.6
X84.0
Y+61.6
X-42.0
G90
G00Z50.0
G00 Y3103.70
(&lt;&lt;&lt;SUB DYHPocket)</v>
      </c>
      <c r="C107" s="8" t="s">
        <v>198</v>
      </c>
      <c r="E107" s="8" t="s">
        <v>198</v>
      </c>
      <c r="G107" s="8" t="s">
        <v>198</v>
      </c>
      <c r="I107" s="8" t="s">
        <v>198</v>
      </c>
      <c r="K107" s="8" t="s">
        <v>198</v>
      </c>
      <c r="L107" s="7" t="s">
        <v>159</v>
      </c>
      <c r="M107" s="8" t="s">
        <v>198</v>
      </c>
      <c r="N107" s="8"/>
      <c r="O107" s="7" t="str">
        <f>IF(VPocket_Y6=0,"","G00 Y" &amp; TEXT((VPocket_Y6+MaleOffset)*mm,"#####.00")&amp;CHAR(10)&amp;s_DXVPocket)</f>
        <v>G00 Y2805.83
(&gt;&gt;&gt;SUB DXVPocket)
G91
G01 Y42.0 Z-50.8 F2500
X-42
Y-86.0
X42
Y86 
G90
G00Z50.0
(&lt;&lt;&lt;SUB DXVPocket)</v>
      </c>
      <c r="P107" s="64" t="s">
        <v>198</v>
      </c>
      <c r="R107" s="84" t="s">
        <v>120</v>
      </c>
    </row>
    <row r="108" spans="2:20" x14ac:dyDescent="0.25">
      <c r="B108" s="7" t="s">
        <v>81</v>
      </c>
      <c r="C108" s="8" t="s">
        <v>198</v>
      </c>
      <c r="D108" s="7" t="s">
        <v>81</v>
      </c>
      <c r="E108" s="8" t="s">
        <v>198</v>
      </c>
      <c r="F108" s="7" t="s">
        <v>35</v>
      </c>
      <c r="G108" s="8" t="s">
        <v>198</v>
      </c>
      <c r="H108" s="7" t="s">
        <v>35</v>
      </c>
      <c r="I108" s="8" t="s">
        <v>198</v>
      </c>
      <c r="J108" s="7" t="s">
        <v>156</v>
      </c>
      <c r="K108" s="8" t="s">
        <v>198</v>
      </c>
      <c r="L108" s="7" t="s">
        <v>168</v>
      </c>
      <c r="M108" s="8" t="s">
        <v>198</v>
      </c>
      <c r="N108" s="8"/>
      <c r="O108" s="7" t="s">
        <v>115</v>
      </c>
      <c r="P108" s="64" t="s">
        <v>198</v>
      </c>
      <c r="R108" s="84"/>
    </row>
    <row r="109" spans="2:20" x14ac:dyDescent="0.25">
      <c r="B109" s="7" t="s">
        <v>120</v>
      </c>
      <c r="C109" s="8" t="s">
        <v>198</v>
      </c>
      <c r="D109" s="7" t="s">
        <v>120</v>
      </c>
      <c r="E109" s="8" t="s">
        <v>198</v>
      </c>
      <c r="F109" s="7" t="str">
        <f>"G01 X1350.0 F"&amp;T6Feed</f>
        <v>G01 X1350.0 F4250</v>
      </c>
      <c r="G109" s="8" t="s">
        <v>198</v>
      </c>
      <c r="H109" s="7" t="str">
        <f>"G01 X1350.0 F"&amp;T6Feed</f>
        <v>G01 X1350.0 F4250</v>
      </c>
      <c r="I109" s="8" t="s">
        <v>198</v>
      </c>
      <c r="J109" s="7" t="str">
        <f>IF(TopPocket_X0=0,"","G00 X" &amp; TEXT((CeilingEndWidth-TopPocket_X0)*mm,"#####.00")&amp;" Y53.98"&amp;CHAR(10)&amp;s_TopPocket)</f>
        <v>G00 X44.45 Y53.98
(&gt;&gt;&gt;SUB TopPocket)
G00 Z66.93
G91
G01 Y44.0 F2500
X41.0
Y-85.0
X-85.0
Y85.0
X45.0
Y-10.0
X34.0
Y-68.0
X-68.0
Y68.0
X34.0
Y-10.0
X24.0
Y-48.0
X-48.0
Y48.0
X24.0
Y-10.0
X14.0
Y-28.0
X-28.0
Y28.0
X14.0
Y-10.0
X4.0
Y-8.0
X-8.0
Y8.0
X4.0
G90
G00 Z110.0
(&lt;&lt;&lt;END SUB TopPocket)</v>
      </c>
      <c r="K109" s="8" t="s">
        <v>198</v>
      </c>
      <c r="M109" s="8" t="s">
        <v>198</v>
      </c>
      <c r="N109" s="8"/>
      <c r="O109" s="59" t="str">
        <f>IF(VPocket_Y7=0,"","G00 Y" &amp; TEXT((VPocket_Y7+MaleOffset)*mm,"#####.00")&amp;CHAR(10)&amp;s_DXVPocket)</f>
        <v/>
      </c>
      <c r="P109" s="64" t="s">
        <v>198</v>
      </c>
      <c r="R109" s="84"/>
    </row>
    <row r="110" spans="2:20" x14ac:dyDescent="0.25">
      <c r="C110" s="8" t="s">
        <v>198</v>
      </c>
      <c r="E110" s="8" t="s">
        <v>198</v>
      </c>
      <c r="G110" s="8" t="s">
        <v>198</v>
      </c>
      <c r="I110" s="8" t="s">
        <v>198</v>
      </c>
      <c r="J110" s="7" t="s">
        <v>270</v>
      </c>
      <c r="K110" s="8" t="s">
        <v>198</v>
      </c>
      <c r="L110" s="7" t="s">
        <v>280</v>
      </c>
      <c r="M110" s="8" t="s">
        <v>198</v>
      </c>
      <c r="N110" s="8"/>
      <c r="P110" s="64" t="s">
        <v>198</v>
      </c>
      <c r="R110" s="84"/>
    </row>
    <row r="111" spans="2:20" x14ac:dyDescent="0.25">
      <c r="C111" s="8" t="s">
        <v>198</v>
      </c>
      <c r="D111" s="7" t="s">
        <v>81</v>
      </c>
      <c r="E111" s="8" t="s">
        <v>198</v>
      </c>
      <c r="F111" s="7" t="s">
        <v>81</v>
      </c>
      <c r="G111" s="8" t="s">
        <v>198</v>
      </c>
      <c r="H111" s="7" t="s">
        <v>81</v>
      </c>
      <c r="I111" s="8" t="s">
        <v>198</v>
      </c>
      <c r="J111" s="7" t="str">
        <f>IF(TopPocket_XM=0,"","G00 X" &amp; TEXT((CeilingEndWidth-TopPocket_XM)*mm,"#####.00")&amp;" Y50.8"&amp;CHAR(10)&amp;s_TopPocket)</f>
        <v/>
      </c>
      <c r="K111" s="8" t="s">
        <v>198</v>
      </c>
      <c r="L111" s="7" t="s">
        <v>31</v>
      </c>
      <c r="M111" s="8" t="s">
        <v>198</v>
      </c>
      <c r="N111" s="8"/>
      <c r="O111" s="7" t="str">
        <f>"G00 Y"&amp;TEXT((BaseDYHPocket-DiffHeight)*mm,"#####.00")</f>
        <v>G00 Y3091.00</v>
      </c>
      <c r="P111" s="64" t="s">
        <v>198</v>
      </c>
      <c r="R111" s="84"/>
    </row>
    <row r="112" spans="2:20" x14ac:dyDescent="0.25">
      <c r="C112" s="8" t="s">
        <v>198</v>
      </c>
      <c r="D112" s="7" t="s">
        <v>120</v>
      </c>
      <c r="E112" s="8" t="s">
        <v>198</v>
      </c>
      <c r="F112" s="7" t="s">
        <v>82</v>
      </c>
      <c r="G112" s="8" t="s">
        <v>198</v>
      </c>
      <c r="H112" s="7" t="s">
        <v>82</v>
      </c>
      <c r="I112" s="8" t="s">
        <v>198</v>
      </c>
      <c r="J112" s="7" t="s">
        <v>273</v>
      </c>
      <c r="K112" s="8" t="s">
        <v>198</v>
      </c>
      <c r="L112" s="7" t="s">
        <v>32</v>
      </c>
      <c r="M112" s="8" t="s">
        <v>198</v>
      </c>
      <c r="N112" s="8"/>
      <c r="P112" s="64" t="s">
        <v>198</v>
      </c>
      <c r="R112" s="84"/>
    </row>
    <row r="113" spans="3:20" x14ac:dyDescent="0.25">
      <c r="C113" s="8" t="s">
        <v>198</v>
      </c>
      <c r="E113" s="8" t="s">
        <v>198</v>
      </c>
      <c r="G113" s="8" t="s">
        <v>198</v>
      </c>
      <c r="I113" s="8" t="s">
        <v>198</v>
      </c>
      <c r="J113" s="7" t="str">
        <f>IF(TopPocket_X1=0,"","G00 X" &amp; TEXT((CeilingEndWidth-TopPocket_X1+0.375)*mm,"#####.00")&amp;" Y53.98"&amp;CHAR(10)&amp;s_TopPocket)</f>
        <v>G00 X53.98 Y53.98
(&gt;&gt;&gt;SUB TopPocket)
G00 Z66.93
G91
G01 Y44.0 F2500
X41.0
Y-85.0
X-85.0
Y85.0
X45.0
Y-10.0
X34.0
Y-68.0
X-68.0
Y68.0
X34.0
Y-10.0
X24.0
Y-48.0
X-48.0
Y48.0
X24.0
Y-10.0
X14.0
Y-28.0
X-28.0
Y28.0
X14.0
Y-10.0
X4.0
Y-8.0
X-8.0
Y8.0
X4.0
G90
G00 Z110.0
(&lt;&lt;&lt;END SUB TopPocket)</v>
      </c>
      <c r="K113" s="8" t="s">
        <v>198</v>
      </c>
      <c r="L113" s="7" t="s">
        <v>39</v>
      </c>
      <c r="M113" s="8" t="s">
        <v>198</v>
      </c>
      <c r="N113" s="8"/>
      <c r="O113" s="7" t="s">
        <v>47</v>
      </c>
      <c r="P113" s="64" t="s">
        <v>198</v>
      </c>
      <c r="R113" s="84"/>
    </row>
    <row r="114" spans="3:20" x14ac:dyDescent="0.25">
      <c r="C114" s="8" t="s">
        <v>198</v>
      </c>
      <c r="E114" s="8" t="s">
        <v>198</v>
      </c>
      <c r="F114" s="7" t="s">
        <v>31</v>
      </c>
      <c r="G114" s="8" t="s">
        <v>198</v>
      </c>
      <c r="H114" s="7" t="s">
        <v>31</v>
      </c>
      <c r="I114" s="8" t="s">
        <v>198</v>
      </c>
      <c r="K114" s="8" t="s">
        <v>198</v>
      </c>
      <c r="L114" s="7" t="s">
        <v>83</v>
      </c>
      <c r="M114" s="8" t="s">
        <v>198</v>
      </c>
      <c r="N114" s="8"/>
      <c r="O114" s="7" t="str">
        <f>"G00 X "&amp;1244.05&amp;" Y"&amp;TEXT((BaseCeilingDYCutOff-DiffLength)*mm,"#####.00")</f>
        <v>G00 X 1244.05 Y3054.50</v>
      </c>
      <c r="P114" s="64" t="s">
        <v>198</v>
      </c>
      <c r="R114" s="84"/>
    </row>
    <row r="115" spans="3:20" x14ac:dyDescent="0.25">
      <c r="C115" s="8" t="s">
        <v>198</v>
      </c>
      <c r="E115" s="8" t="s">
        <v>198</v>
      </c>
      <c r="F115" s="7" t="s">
        <v>32</v>
      </c>
      <c r="G115" s="8" t="s">
        <v>198</v>
      </c>
      <c r="H115" s="7" t="s">
        <v>32</v>
      </c>
      <c r="I115" s="8" t="s">
        <v>198</v>
      </c>
      <c r="K115" s="8" t="s">
        <v>198</v>
      </c>
      <c r="L115" s="7" t="s">
        <v>40</v>
      </c>
      <c r="M115" s="8" t="s">
        <v>198</v>
      </c>
      <c r="N115" s="8"/>
      <c r="P115" s="64" t="s">
        <v>198</v>
      </c>
      <c r="R115" s="84"/>
    </row>
    <row r="116" spans="3:20" x14ac:dyDescent="0.25">
      <c r="C116" s="8" t="s">
        <v>198</v>
      </c>
      <c r="E116" s="8" t="s">
        <v>198</v>
      </c>
      <c r="F116" s="7" t="s">
        <v>134</v>
      </c>
      <c r="G116" s="8" t="s">
        <v>198</v>
      </c>
      <c r="H116" s="7" t="s">
        <v>134</v>
      </c>
      <c r="I116" s="8" t="s">
        <v>198</v>
      </c>
      <c r="J116" s="7" t="s">
        <v>159</v>
      </c>
      <c r="K116" s="8" t="s">
        <v>198</v>
      </c>
      <c r="L116" s="7" t="s">
        <v>169</v>
      </c>
      <c r="M116" s="8" t="s">
        <v>198</v>
      </c>
      <c r="N116" s="8"/>
      <c r="O116" s="7" t="str">
        <f>"G01 X-38.1 F"&amp;8000</f>
        <v>G01 X-38.1 F8000</v>
      </c>
      <c r="P116" s="64" t="s">
        <v>198</v>
      </c>
      <c r="R116" s="84"/>
    </row>
    <row r="117" spans="3:20" x14ac:dyDescent="0.25">
      <c r="C117" s="8" t="s">
        <v>198</v>
      </c>
      <c r="E117" s="8" t="s">
        <v>198</v>
      </c>
      <c r="F117" s="7" t="s">
        <v>147</v>
      </c>
      <c r="G117" s="8" t="s">
        <v>198</v>
      </c>
      <c r="H117" s="7" t="s">
        <v>147</v>
      </c>
      <c r="I117" s="8" t="s">
        <v>198</v>
      </c>
      <c r="J117" s="7" t="s">
        <v>168</v>
      </c>
      <c r="K117" s="8" t="s">
        <v>198</v>
      </c>
      <c r="L117" s="7" t="s">
        <v>170</v>
      </c>
      <c r="M117" s="8" t="s">
        <v>198</v>
      </c>
      <c r="N117" s="8"/>
      <c r="O117" s="7" t="s">
        <v>126</v>
      </c>
      <c r="P117" s="64" t="s">
        <v>198</v>
      </c>
      <c r="R117" s="84"/>
    </row>
    <row r="118" spans="3:20" x14ac:dyDescent="0.25">
      <c r="C118" s="8" t="s">
        <v>198</v>
      </c>
      <c r="E118" s="8" t="s">
        <v>198</v>
      </c>
      <c r="F118" s="7" t="s">
        <v>135</v>
      </c>
      <c r="G118" s="8" t="s">
        <v>198</v>
      </c>
      <c r="H118" s="7" t="s">
        <v>135</v>
      </c>
      <c r="I118" s="8" t="s">
        <v>198</v>
      </c>
      <c r="K118" s="8" t="s">
        <v>198</v>
      </c>
      <c r="L118" s="7" t="str">
        <f>"G0 X1350.0"</f>
        <v>G0 X1350.0</v>
      </c>
      <c r="M118" s="8" t="s">
        <v>198</v>
      </c>
      <c r="N118" s="8"/>
      <c r="O118" s="7" t="s">
        <v>127</v>
      </c>
      <c r="P118" s="64" t="s">
        <v>198</v>
      </c>
      <c r="R118" s="84"/>
    </row>
    <row r="119" spans="3:20" x14ac:dyDescent="0.25">
      <c r="C119" s="8" t="s">
        <v>198</v>
      </c>
      <c r="E119" s="8" t="s">
        <v>198</v>
      </c>
      <c r="F119" s="7" t="s">
        <v>148</v>
      </c>
      <c r="G119" s="8" t="s">
        <v>198</v>
      </c>
      <c r="H119" s="7" t="s">
        <v>148</v>
      </c>
      <c r="I119" s="8" t="s">
        <v>198</v>
      </c>
      <c r="J119" s="7" t="s">
        <v>280</v>
      </c>
      <c r="K119" s="8" t="s">
        <v>198</v>
      </c>
      <c r="L119" s="7" t="str">
        <f>"G00 Y"&amp;TEXT((Height+0.25)*mm,"#####.00")</f>
        <v>G00 Y3054.35</v>
      </c>
      <c r="M119" s="8" t="s">
        <v>198</v>
      </c>
      <c r="N119" s="8"/>
      <c r="P119" s="64" t="s">
        <v>198</v>
      </c>
      <c r="R119" s="84" t="s">
        <v>31</v>
      </c>
      <c r="T119" s="7" t="s">
        <v>31</v>
      </c>
    </row>
    <row r="120" spans="3:20" x14ac:dyDescent="0.25">
      <c r="C120" s="8" t="s">
        <v>198</v>
      </c>
      <c r="E120" s="8" t="s">
        <v>198</v>
      </c>
      <c r="G120" s="8" t="s">
        <v>198</v>
      </c>
      <c r="I120" s="8" t="s">
        <v>198</v>
      </c>
      <c r="J120" s="7" t="s">
        <v>31</v>
      </c>
      <c r="K120" s="8" t="s">
        <v>198</v>
      </c>
      <c r="M120" s="8" t="s">
        <v>198</v>
      </c>
      <c r="N120" s="8"/>
      <c r="O120" s="7" t="s">
        <v>81</v>
      </c>
      <c r="P120" s="64" t="s">
        <v>198</v>
      </c>
      <c r="R120" s="84" t="s">
        <v>32</v>
      </c>
      <c r="T120" s="7" t="s">
        <v>32</v>
      </c>
    </row>
    <row r="121" spans="3:20" x14ac:dyDescent="0.25">
      <c r="C121" s="8" t="s">
        <v>198</v>
      </c>
      <c r="E121" s="8" t="s">
        <v>198</v>
      </c>
      <c r="F121" s="7" t="s">
        <v>136</v>
      </c>
      <c r="G121" s="8" t="s">
        <v>198</v>
      </c>
      <c r="H121" s="7" t="s">
        <v>136</v>
      </c>
      <c r="I121" s="8" t="s">
        <v>198</v>
      </c>
      <c r="J121" s="7" t="s">
        <v>32</v>
      </c>
      <c r="K121" s="8" t="s">
        <v>198</v>
      </c>
      <c r="L121" s="7" t="str">
        <f>"G01 X"&amp;TEXT((BaseWidth-CeilingEndWidth-0.25)*mm,"#####.00")&amp;" F8000"</f>
        <v>G01 X876.30 F8000</v>
      </c>
      <c r="M121" s="8" t="s">
        <v>198</v>
      </c>
      <c r="N121" s="8"/>
      <c r="O121" s="7" t="s">
        <v>120</v>
      </c>
      <c r="P121" s="64" t="s">
        <v>198</v>
      </c>
      <c r="R121" s="84" t="s">
        <v>131</v>
      </c>
      <c r="T121" s="7" t="s">
        <v>131</v>
      </c>
    </row>
    <row r="122" spans="3:20" x14ac:dyDescent="0.25">
      <c r="C122" s="8" t="s">
        <v>198</v>
      </c>
      <c r="E122" s="8" t="s">
        <v>198</v>
      </c>
      <c r="G122" s="8" t="s">
        <v>198</v>
      </c>
      <c r="I122" s="8" t="s">
        <v>198</v>
      </c>
      <c r="J122" s="7" t="s">
        <v>39</v>
      </c>
      <c r="K122" s="8" t="s">
        <v>198</v>
      </c>
      <c r="L122" s="7" t="s">
        <v>172</v>
      </c>
      <c r="M122" s="8" t="s">
        <v>198</v>
      </c>
      <c r="N122" s="8"/>
      <c r="P122" s="64" t="s">
        <v>198</v>
      </c>
      <c r="R122" s="84" t="s">
        <v>285</v>
      </c>
      <c r="T122" s="7" t="s">
        <v>285</v>
      </c>
    </row>
    <row r="123" spans="3:20" x14ac:dyDescent="0.25">
      <c r="C123" s="8" t="s">
        <v>198</v>
      </c>
      <c r="E123" s="8" t="s">
        <v>198</v>
      </c>
      <c r="F123" s="7" t="str">
        <f>IF(TopPocket_DX=0,"","G00 X"&amp;TEXT((TopPocket_DX)*mm,"#####.00")&amp;" Y"&amp;TEXT((3050),"#####.00"))</f>
        <v>G00 X44.45 Y3050.00</v>
      </c>
      <c r="G123" s="8" t="s">
        <v>198</v>
      </c>
      <c r="H123" s="7" t="str">
        <f>IF(TopPocket_DX=0,"","G00 X"&amp;TEXT((TopPocket_DX)*mm,"#####.00")&amp;" Y"&amp;TEXT((3050),"#####.00"))</f>
        <v>G00 X44.45 Y3050.00</v>
      </c>
      <c r="I123" s="8" t="s">
        <v>198</v>
      </c>
      <c r="J123" s="7" t="s">
        <v>83</v>
      </c>
      <c r="K123" s="8" t="s">
        <v>198</v>
      </c>
      <c r="L123" s="7" t="str">
        <f>"G01 X1350.0 F8000"</f>
        <v>G01 X1350.0 F8000</v>
      </c>
      <c r="M123" s="8" t="s">
        <v>198</v>
      </c>
      <c r="N123" s="8"/>
      <c r="P123" s="64" t="s">
        <v>198</v>
      </c>
      <c r="R123" s="84" t="s">
        <v>132</v>
      </c>
      <c r="T123" s="7" t="s">
        <v>132</v>
      </c>
    </row>
    <row r="124" spans="3:20" x14ac:dyDescent="0.25">
      <c r="C124" s="8" t="s">
        <v>198</v>
      </c>
      <c r="E124" s="8" t="s">
        <v>198</v>
      </c>
      <c r="G124" s="8" t="s">
        <v>198</v>
      </c>
      <c r="I124" s="8" t="s">
        <v>198</v>
      </c>
      <c r="J124" s="7" t="s">
        <v>40</v>
      </c>
      <c r="K124" s="8" t="s">
        <v>198</v>
      </c>
      <c r="M124" s="8" t="s">
        <v>198</v>
      </c>
      <c r="N124" s="8"/>
      <c r="P124" s="64" t="s">
        <v>198</v>
      </c>
      <c r="R124" s="84" t="str">
        <f>"G00 Y3100.0 Z"&amp;T6Z</f>
        <v>G00 Y3100.0 Z80.647</v>
      </c>
      <c r="T124" s="7" t="str">
        <f>"G00 Y3100.0 Z"&amp;T6Z</f>
        <v>G00 Y3100.0 Z80.647</v>
      </c>
    </row>
    <row r="125" spans="3:20" x14ac:dyDescent="0.25">
      <c r="E125" s="8" t="s">
        <v>198</v>
      </c>
      <c r="F125" s="7" t="s">
        <v>149</v>
      </c>
      <c r="G125" s="8" t="s">
        <v>198</v>
      </c>
      <c r="H125" s="7" t="s">
        <v>149</v>
      </c>
      <c r="I125" s="8" t="s">
        <v>198</v>
      </c>
      <c r="J125" s="7" t="s">
        <v>169</v>
      </c>
      <c r="K125" s="8" t="s">
        <v>198</v>
      </c>
      <c r="L125" s="7" t="s">
        <v>174</v>
      </c>
      <c r="M125" s="8" t="s">
        <v>198</v>
      </c>
      <c r="N125" s="8"/>
      <c r="O125" s="7" t="s">
        <v>31</v>
      </c>
      <c r="P125" s="64" t="s">
        <v>198</v>
      </c>
      <c r="R125" s="84" t="s">
        <v>35</v>
      </c>
      <c r="T125" s="7" t="s">
        <v>35</v>
      </c>
    </row>
    <row r="126" spans="3:20" x14ac:dyDescent="0.25">
      <c r="C126" s="8" t="s">
        <v>198</v>
      </c>
      <c r="E126" s="8" t="s">
        <v>198</v>
      </c>
      <c r="F126" s="7" t="str">
        <f>IF(TopPocket_DX=0,"","G00 X" &amp; TEXT((TopPocket_DX+0.375)*mm,"#####.00")&amp;" Y"&amp;TEXT((BaseTopFemaleDX-DiffLength-0.125)*mm,"#####.00")&amp;CHAR(10)&amp;s_TopPocket)</f>
        <v>G00 X53.98 Y2994.03
(&gt;&gt;&gt;SUB TopPocket)
G00 Z66.93
G91
G01 Y44.0 F2500
X41.0
Y-85.0
X-85.0
Y85.0
X45.0
Y-10.0
X34.0
Y-68.0
X-68.0
Y68.0
X34.0
Y-10.0
X24.0
Y-48.0
X-48.0
Y48.0
X24.0
Y-10.0
X14.0
Y-28.0
X-28.0
Y28.0
X14.0
Y-10.0
X4.0
Y-8.0
X-8.0
Y8.0
X4.0
G90
G00 Z110.0
(&lt;&lt;&lt;END SUB TopPocket)</v>
      </c>
      <c r="G126" s="8" t="s">
        <v>198</v>
      </c>
      <c r="H126" s="7" t="str">
        <f>IF(TopPocket_DX=0,"","G00 X" &amp; TEXT((TopPocket_DX+0.375)*mm,"#####.00")&amp;" Y"&amp;TEXT((BaseTopFemaleDX-DiffLength-0.125)*mm,"#####.00")&amp;CHAR(10)&amp;s_TopPocket)</f>
        <v>G00 X53.98 Y2994.03
(&gt;&gt;&gt;SUB TopPocket)
G00 Z66.93
G91
G01 Y44.0 F2500
X41.0
Y-85.0
X-85.0
Y85.0
X45.0
Y-10.0
X34.0
Y-68.0
X-68.0
Y68.0
X34.0
Y-10.0
X24.0
Y-48.0
X-48.0
Y48.0
X24.0
Y-10.0
X14.0
Y-28.0
X-28.0
Y28.0
X14.0
Y-10.0
X4.0
Y-8.0
X-8.0
Y8.0
X4.0
G90
G00 Z110.0
(&lt;&lt;&lt;END SUB TopPocket)</v>
      </c>
      <c r="I126" s="8" t="s">
        <v>198</v>
      </c>
      <c r="J126" s="7" t="s">
        <v>170</v>
      </c>
      <c r="K126" s="8" t="s">
        <v>198</v>
      </c>
      <c r="L126" s="7" t="s">
        <v>175</v>
      </c>
      <c r="M126" s="8" t="s">
        <v>198</v>
      </c>
      <c r="N126" s="8"/>
      <c r="O126" s="7" t="s">
        <v>32</v>
      </c>
      <c r="P126" s="64" t="s">
        <v>198</v>
      </c>
      <c r="R126" s="84" t="s">
        <v>86</v>
      </c>
      <c r="T126" s="7" t="s">
        <v>86</v>
      </c>
    </row>
    <row r="127" spans="3:20" x14ac:dyDescent="0.25">
      <c r="C127" s="8" t="s">
        <v>198</v>
      </c>
      <c r="E127" s="8" t="s">
        <v>198</v>
      </c>
      <c r="F127" s="7" t="s">
        <v>153</v>
      </c>
      <c r="G127" s="8" t="s">
        <v>198</v>
      </c>
      <c r="H127" s="7" t="s">
        <v>153</v>
      </c>
      <c r="I127" s="8" t="s">
        <v>198</v>
      </c>
      <c r="J127" s="7" t="str">
        <f>"G0 X"&amp;TEXT((CeilingEndWidth+0.25)*mm,"#####.00")</f>
        <v>G0 X304.80</v>
      </c>
      <c r="K127" s="8" t="s">
        <v>198</v>
      </c>
      <c r="L127" s="7" t="s">
        <v>281</v>
      </c>
      <c r="M127" s="8" t="s">
        <v>198</v>
      </c>
      <c r="O127" s="7" t="s">
        <v>134</v>
      </c>
      <c r="P127" s="64" t="s">
        <v>198</v>
      </c>
      <c r="R127" s="84"/>
      <c r="T127" s="7" t="s">
        <v>133</v>
      </c>
    </row>
    <row r="128" spans="3:20" x14ac:dyDescent="0.25">
      <c r="C128" s="8" t="s">
        <v>198</v>
      </c>
      <c r="E128" s="8" t="s">
        <v>198</v>
      </c>
      <c r="F128" s="7" t="str">
        <f>IF(TopPocket_XM=0,"","G00 X" &amp; TEXT((TopPocket_XM)*mm,"#####.00")&amp;" Y"&amp;TEXT((BaseTopFemaleDX-DiffLength)*mm,"#####.00")&amp;CHAR(10)&amp;s_TopPocket)</f>
        <v/>
      </c>
      <c r="G128" s="8" t="s">
        <v>198</v>
      </c>
      <c r="H128" s="7" t="str">
        <f>IF(TopPocket_XM=0,"","G00 X" &amp; TEXT((TopPocket_XM)*mm,"#####.00")&amp;" Y"&amp;TEXT((BaseTopFemaleDX-DiffLength)*mm,"#####.00")&amp;CHAR(10)&amp;s_TopPocket)</f>
        <v/>
      </c>
      <c r="I128" s="8" t="s">
        <v>198</v>
      </c>
      <c r="K128" s="8" t="s">
        <v>198</v>
      </c>
      <c r="M128" s="8" t="s">
        <v>198</v>
      </c>
      <c r="O128" s="59" t="s">
        <v>147</v>
      </c>
      <c r="P128" s="64" t="s">
        <v>198</v>
      </c>
      <c r="R128" s="84"/>
      <c r="T128" s="7" t="str">
        <f>"G00 Y"&amp;TEXT((BaseTopFemaleDX-DiffLength)*mm,"#####.00")</f>
        <v>G00 Y2997.20</v>
      </c>
    </row>
    <row r="129" spans="3:20" x14ac:dyDescent="0.25">
      <c r="C129" s="8" t="s">
        <v>198</v>
      </c>
      <c r="E129" s="8" t="s">
        <v>198</v>
      </c>
      <c r="F129" s="7" t="s">
        <v>154</v>
      </c>
      <c r="G129" s="8" t="s">
        <v>198</v>
      </c>
      <c r="H129" s="7" t="s">
        <v>154</v>
      </c>
      <c r="I129" s="8" t="s">
        <v>198</v>
      </c>
      <c r="J129" s="7" t="str">
        <f>"G01 Y"&amp;TEXT((Height+0.25)*mm,"#####.00")&amp;"  F8000"</f>
        <v>G01 Y3054.35  F8000</v>
      </c>
      <c r="K129" s="8" t="s">
        <v>198</v>
      </c>
      <c r="L129" s="7" t="s">
        <v>31</v>
      </c>
      <c r="M129" s="8" t="s">
        <v>198</v>
      </c>
      <c r="O129" s="7" t="s">
        <v>135</v>
      </c>
      <c r="P129" s="64" t="s">
        <v>198</v>
      </c>
      <c r="R129" s="84"/>
    </row>
    <row r="130" spans="3:20" x14ac:dyDescent="0.25">
      <c r="C130" s="8" t="s">
        <v>198</v>
      </c>
      <c r="E130" s="8" t="s">
        <v>198</v>
      </c>
      <c r="F130" s="7" t="str">
        <f>IF(TopPocket_X0=0,"","G00 X" &amp; TEXT((TopPocket_X0)*mm,"#####.00")&amp;" Y"&amp;TEXT((BaseTopFemaleDX-DiffLength-0.125)*mm,"#####.00")&amp;CHAR(10)&amp;s_TopPocket)</f>
        <v>G00 X254.00 Y2994.03
(&gt;&gt;&gt;SUB TopPocket)
G00 Z66.93
G91
G01 Y44.0 F2500
X41.0
Y-85.0
X-85.0
Y85.0
X45.0
Y-10.0
X34.0
Y-68.0
X-68.0
Y68.0
X34.0
Y-10.0
X24.0
Y-48.0
X-48.0
Y48.0
X24.0
Y-10.0
X14.0
Y-28.0
X-28.0
Y28.0
X14.0
Y-10.0
X4.0
Y-8.0
X-8.0
Y8.0
X4.0
G90
G00 Z110.0
(&lt;&lt;&lt;END SUB TopPocket)</v>
      </c>
      <c r="G130" s="8" t="s">
        <v>198</v>
      </c>
      <c r="H130" s="7" t="str">
        <f>IF(TopPocket_X0=0,"","G00 X" &amp; TEXT((TopPocket_X0)*mm,"#####.00")&amp;" Y"&amp;TEXT((BaseTopFemaleDX-DiffLength-0.125)*mm,"#####.00")&amp;CHAR(10)&amp;s_TopPocket)</f>
        <v>G00 X254.00 Y2994.03
(&gt;&gt;&gt;SUB TopPocket)
G00 Z66.93
G91
G01 Y44.0 F2500
X41.0
Y-85.0
X-85.0
Y85.0
X45.0
Y-10.0
X34.0
Y-68.0
X-68.0
Y68.0
X34.0
Y-10.0
X24.0
Y-48.0
X-48.0
Y48.0
X24.0
Y-10.0
X14.0
Y-28.0
X-28.0
Y28.0
X14.0
Y-10.0
X4.0
Y-8.0
X-8.0
Y8.0
X4.0
G90
G00 Z110.0
(&lt;&lt;&lt;END SUB TopPocket)</v>
      </c>
      <c r="I130" s="8" t="s">
        <v>198</v>
      </c>
      <c r="J130" s="7" t="s">
        <v>171</v>
      </c>
      <c r="K130" s="8" t="s">
        <v>198</v>
      </c>
      <c r="L130" s="7" t="s">
        <v>48</v>
      </c>
      <c r="M130" s="8" t="s">
        <v>198</v>
      </c>
      <c r="O130" s="7" t="s">
        <v>148</v>
      </c>
      <c r="P130" s="64" t="s">
        <v>198</v>
      </c>
      <c r="R130" s="84" t="str">
        <f>"G01 X-50.0 F"&amp;T6Feed</f>
        <v>G01 X-50.0 F4250</v>
      </c>
      <c r="T130" s="7" t="str">
        <f>"G01 X-50.0 F"&amp;T6Feed</f>
        <v>G01 X-50.0 F4250</v>
      </c>
    </row>
    <row r="131" spans="3:20" x14ac:dyDescent="0.25">
      <c r="C131" s="8" t="s">
        <v>198</v>
      </c>
      <c r="E131" s="8" t="s">
        <v>198</v>
      </c>
      <c r="F131" s="7" t="s">
        <v>156</v>
      </c>
      <c r="G131" s="8" t="s">
        <v>198</v>
      </c>
      <c r="H131" s="7" t="s">
        <v>156</v>
      </c>
      <c r="I131" s="8" t="s">
        <v>198</v>
      </c>
      <c r="J131" s="7" t="s">
        <v>172</v>
      </c>
      <c r="K131" s="8" t="s">
        <v>198</v>
      </c>
      <c r="L131" s="7" t="s">
        <v>49</v>
      </c>
      <c r="M131" s="8" t="s">
        <v>198</v>
      </c>
      <c r="P131" s="64" t="s">
        <v>198</v>
      </c>
      <c r="R131" s="84"/>
    </row>
    <row r="132" spans="3:20" x14ac:dyDescent="0.25">
      <c r="C132" s="8" t="s">
        <v>198</v>
      </c>
      <c r="E132" s="8" t="s">
        <v>198</v>
      </c>
      <c r="F132" s="7" t="str">
        <f>IF(TopPocket_X0=0,"","G00 X" &amp; TEXT((TopPocket_X0-0)*mm,"#####.00")&amp;" Y53.98"&amp;CHAR(10)&amp;s_TopPocket)</f>
        <v>G00 X254.00 Y53.98
(&gt;&gt;&gt;SUB TopPocket)
G00 Z66.93
G91
G01 Y44.0 F2500
X41.0
Y-85.0
X-85.0
Y85.0
X45.0
Y-10.0
X34.0
Y-68.0
X-68.0
Y68.0
X34.0
Y-10.0
X24.0
Y-48.0
X-48.0
Y48.0
X24.0
Y-10.0
X14.0
Y-28.0
X-28.0
Y28.0
X14.0
Y-10.0
X4.0
Y-8.0
X-8.0
Y8.0
X4.0
G90
G00 Z110.0
(&lt;&lt;&lt;END SUB TopPocket)</v>
      </c>
      <c r="G132" s="8" t="s">
        <v>198</v>
      </c>
      <c r="H132" s="7" t="str">
        <f>IF(TopPocket_X0=0,"","G00 X" &amp; TEXT((6)*mm,"#####.00")&amp;" Y53.98"&amp;CHAR(10)&amp;s_TopPocket)</f>
        <v>G00 X152.40 Y53.98
(&gt;&gt;&gt;SUB TopPocket)
G00 Z66.93
G91
G01 Y44.0 F2500
X41.0
Y-85.0
X-85.0
Y85.0
X45.0
Y-10.0
X34.0
Y-68.0
X-68.0
Y68.0
X34.0
Y-10.0
X24.0
Y-48.0
X-48.0
Y48.0
X24.0
Y-10.0
X14.0
Y-28.0
X-28.0
Y28.0
X14.0
Y-10.0
X4.0
Y-8.0
X-8.0
Y8.0
X4.0
G90
G00 Z110.0
(&lt;&lt;&lt;END SUB TopPocket)</v>
      </c>
      <c r="I132" s="8" t="s">
        <v>198</v>
      </c>
      <c r="J132" s="7" t="str">
        <f>"G01 X"&amp;TEXT((CeilingEndWidth+0.25)*mm,"#####.00")&amp;" F8000"</f>
        <v>G01 X304.80 F8000</v>
      </c>
      <c r="K132" s="8" t="s">
        <v>198</v>
      </c>
      <c r="M132" s="8" t="s">
        <v>198</v>
      </c>
      <c r="O132" s="7" t="s">
        <v>136</v>
      </c>
      <c r="P132" s="64" t="s">
        <v>198</v>
      </c>
      <c r="R132" s="84" t="s">
        <v>146</v>
      </c>
    </row>
    <row r="133" spans="3:20" x14ac:dyDescent="0.25">
      <c r="C133" s="8" t="s">
        <v>198</v>
      </c>
      <c r="E133" s="8" t="s">
        <v>198</v>
      </c>
      <c r="F133" s="7" t="s">
        <v>153</v>
      </c>
      <c r="G133" s="8" t="s">
        <v>198</v>
      </c>
      <c r="H133" s="7" t="s">
        <v>153</v>
      </c>
      <c r="I133" s="8" t="s">
        <v>198</v>
      </c>
      <c r="K133" s="8" t="s">
        <v>198</v>
      </c>
      <c r="M133" s="8" t="s">
        <v>198</v>
      </c>
      <c r="P133" s="64" t="s">
        <v>198</v>
      </c>
      <c r="R133" s="84"/>
    </row>
    <row r="134" spans="3:20" x14ac:dyDescent="0.25">
      <c r="C134" s="8" t="s">
        <v>198</v>
      </c>
      <c r="E134" s="8" t="s">
        <v>198</v>
      </c>
      <c r="F134" s="7" t="str">
        <f>IF(TopPocket_XM=0,"","G00 X" &amp; TEXT((TopPocket_XM)*mm,"#####.00")&amp;" Y50.8"&amp;CHAR(10)&amp;s_TopPocket)</f>
        <v/>
      </c>
      <c r="G134" s="8" t="s">
        <v>198</v>
      </c>
      <c r="H134" s="7" t="str">
        <f>IF(TopPocket_XM=0,"","G00 X" &amp; TEXT((TopPocket_XM)*mm,"#####.00")&amp;" Y50.8"&amp;CHAR(10)&amp;s_TopPocket)</f>
        <v/>
      </c>
      <c r="I134" s="8" t="s">
        <v>198</v>
      </c>
      <c r="J134" s="7" t="s">
        <v>41</v>
      </c>
      <c r="K134" s="8" t="s">
        <v>198</v>
      </c>
      <c r="M134" s="8" t="s">
        <v>198</v>
      </c>
      <c r="O134" s="7" t="str">
        <f>IF(TopPocket_DX=0,"","G00 X"&amp;TEXT((TopPocket_DX)*mm,"#####.00")&amp;" Y"&amp;TEXT((3050),"#####.00"))</f>
        <v>G00 X44.45 Y3050.00</v>
      </c>
      <c r="P134" s="64" t="s">
        <v>198</v>
      </c>
      <c r="R134" s="84" t="s">
        <v>35</v>
      </c>
    </row>
    <row r="135" spans="3:20" x14ac:dyDescent="0.25">
      <c r="C135" s="8" t="s">
        <v>198</v>
      </c>
      <c r="E135" s="8" t="s">
        <v>198</v>
      </c>
      <c r="F135" s="7" t="s">
        <v>149</v>
      </c>
      <c r="G135" s="8" t="s">
        <v>198</v>
      </c>
      <c r="H135" s="7" t="s">
        <v>149</v>
      </c>
      <c r="I135" s="8" t="s">
        <v>198</v>
      </c>
      <c r="J135" s="7" t="s">
        <v>173</v>
      </c>
      <c r="K135" s="8" t="s">
        <v>198</v>
      </c>
      <c r="M135" s="8" t="s">
        <v>198</v>
      </c>
      <c r="P135" s="64" t="s">
        <v>198</v>
      </c>
      <c r="R135" s="84" t="str">
        <f>"G01 X1350.0 F"&amp;T6Feed</f>
        <v>G01 X1350.0 F4250</v>
      </c>
    </row>
    <row r="136" spans="3:20" x14ac:dyDescent="0.25">
      <c r="C136" s="8" t="s">
        <v>198</v>
      </c>
      <c r="E136" s="8" t="s">
        <v>198</v>
      </c>
      <c r="F136" s="7" t="str">
        <f>IF(TopPocket_DX=0,"","G00 X" &amp; TEXT((TopPocket_DX+0.375)*mm,"#####.00")&amp;" Y53.98"&amp;CHAR(10)&amp;s_TopPocket)</f>
        <v>G00 X53.98 Y53.98
(&gt;&gt;&gt;SUB TopPocket)
G00 Z66.93
G91
G01 Y44.0 F2500
X41.0
Y-85.0
X-85.0
Y85.0
X45.0
Y-10.0
X34.0
Y-68.0
X-68.0
Y68.0
X34.0
Y-10.0
X24.0
Y-48.0
X-48.0
Y48.0
X24.0
Y-10.0
X14.0
Y-28.0
X-28.0
Y28.0
X14.0
Y-10.0
X4.0
Y-8.0
X-8.0
Y8.0
X4.0
G90
G00 Z110.0
(&lt;&lt;&lt;END SUB TopPocket)</v>
      </c>
      <c r="G136" s="8" t="s">
        <v>198</v>
      </c>
      <c r="H136" s="7" t="str">
        <f>IF(TopPocket_DX=0,"","G00 X" &amp; TEXT((40.75)*mm,"#####.00")&amp;" Y53.98"&amp;CHAR(10)&amp;s_TopPocket)</f>
        <v>G00 X1035.05 Y53.98
(&gt;&gt;&gt;SUB TopPocket)
G00 Z66.93
G91
G01 Y44.0 F2500
X41.0
Y-85.0
X-85.0
Y85.0
X45.0
Y-10.0
X34.0
Y-68.0
X-68.0
Y68.0
X34.0
Y-10.0
X24.0
Y-48.0
X-48.0
Y48.0
X24.0
Y-10.0
X14.0
Y-28.0
X-28.0
Y28.0
X14.0
Y-10.0
X4.0
Y-8.0
X-8.0
Y8.0
X4.0
G90
G00 Z110.0
(&lt;&lt;&lt;END SUB TopPocket)</v>
      </c>
      <c r="I136" s="8" t="s">
        <v>198</v>
      </c>
      <c r="J136" s="7" t="s">
        <v>43</v>
      </c>
      <c r="K136" s="8" t="s">
        <v>198</v>
      </c>
      <c r="M136" s="8" t="s">
        <v>198</v>
      </c>
      <c r="O136" s="59" t="s">
        <v>149</v>
      </c>
      <c r="P136" s="64" t="s">
        <v>198</v>
      </c>
      <c r="R136" s="84"/>
    </row>
    <row r="137" spans="3:20" x14ac:dyDescent="0.25">
      <c r="C137" s="8" t="s">
        <v>198</v>
      </c>
      <c r="E137" s="8" t="s">
        <v>198</v>
      </c>
      <c r="G137" s="8" t="s">
        <v>198</v>
      </c>
      <c r="I137" s="8" t="s">
        <v>198</v>
      </c>
      <c r="K137" s="8" t="s">
        <v>198</v>
      </c>
      <c r="M137" s="8" t="s">
        <v>198</v>
      </c>
      <c r="O137" s="59" t="str">
        <f>IF(TopPocket_DX=0,"","G00 X" &amp; TEXT((TopPocket_DX+0.375)*mm,"#####.00")&amp;" Y"&amp;TEXT((BaseTopFemaleDX-DiffLength-0.125)*mm,"#####.00")&amp;CHAR(10)&amp;s_TopPocket)</f>
        <v>G00 X53.98 Y2994.03
(&gt;&gt;&gt;SUB TopPocket)
G00 Z66.93
G91
G01 Y44.0 F2500
X41.0
Y-85.0
X-85.0
Y85.0
X45.0
Y-10.0
X34.0
Y-68.0
X-68.0
Y68.0
X34.0
Y-10.0
X24.0
Y-48.0
X-48.0
Y48.0
X24.0
Y-10.0
X14.0
Y-28.0
X-28.0
Y28.0
X14.0
Y-10.0
X4.0
Y-8.0
X-8.0
Y8.0
X4.0
G90
G00 Z110.0
(&lt;&lt;&lt;END SUB TopPocket)</v>
      </c>
      <c r="P137" s="64" t="s">
        <v>198</v>
      </c>
      <c r="R137" s="84" t="s">
        <v>81</v>
      </c>
      <c r="T137" s="7" t="s">
        <v>81</v>
      </c>
    </row>
    <row r="138" spans="3:20" x14ac:dyDescent="0.25">
      <c r="C138" s="8" t="s">
        <v>198</v>
      </c>
      <c r="E138" s="8" t="s">
        <v>198</v>
      </c>
      <c r="F138" s="7" t="s">
        <v>137</v>
      </c>
      <c r="G138" s="8" t="s">
        <v>198</v>
      </c>
      <c r="H138" s="7" t="s">
        <v>137</v>
      </c>
      <c r="I138" s="8" t="s">
        <v>198</v>
      </c>
      <c r="J138" s="7" t="s">
        <v>174</v>
      </c>
      <c r="K138" s="8" t="s">
        <v>198</v>
      </c>
      <c r="M138" s="8" t="s">
        <v>198</v>
      </c>
      <c r="O138" s="59" t="s">
        <v>153</v>
      </c>
      <c r="P138" s="64" t="s">
        <v>198</v>
      </c>
      <c r="R138" s="84" t="s">
        <v>82</v>
      </c>
      <c r="T138" s="7" t="s">
        <v>82</v>
      </c>
    </row>
    <row r="139" spans="3:20" x14ac:dyDescent="0.25">
      <c r="C139" s="8" t="s">
        <v>198</v>
      </c>
      <c r="E139" s="8" t="s">
        <v>198</v>
      </c>
      <c r="F139" s="7" t="s">
        <v>138</v>
      </c>
      <c r="G139" s="8" t="s">
        <v>198</v>
      </c>
      <c r="H139" s="7" t="s">
        <v>138</v>
      </c>
      <c r="I139" s="8" t="s">
        <v>198</v>
      </c>
      <c r="J139" s="7" t="s">
        <v>175</v>
      </c>
      <c r="K139" s="8" t="s">
        <v>198</v>
      </c>
      <c r="M139" s="8" t="s">
        <v>198</v>
      </c>
      <c r="O139" s="59" t="str">
        <f>IF(TopPocket_XM=0,"","G00 X" &amp; TEXT((TopPocket_XM)*mm,"#####.00")&amp;" Y"&amp;TEXT((BaseTopFemaleDX-DiffLength-0.125)*mm,"#####.00")&amp;CHAR(10)&amp;s_TopPocket)</f>
        <v/>
      </c>
      <c r="P139" s="64" t="s">
        <v>198</v>
      </c>
      <c r="R139" s="84"/>
    </row>
    <row r="140" spans="3:20" x14ac:dyDescent="0.25">
      <c r="C140" s="8" t="s">
        <v>198</v>
      </c>
      <c r="E140" s="8" t="s">
        <v>198</v>
      </c>
      <c r="G140" s="8" t="s">
        <v>198</v>
      </c>
      <c r="I140" s="8" t="s">
        <v>198</v>
      </c>
      <c r="J140" s="7" t="s">
        <v>281</v>
      </c>
      <c r="K140" s="8" t="s">
        <v>198</v>
      </c>
      <c r="M140" s="8" t="s">
        <v>198</v>
      </c>
      <c r="O140" s="59" t="s">
        <v>154</v>
      </c>
      <c r="P140" s="64" t="s">
        <v>198</v>
      </c>
      <c r="R140" s="84" t="s">
        <v>31</v>
      </c>
      <c r="T140" s="7" t="s">
        <v>31</v>
      </c>
    </row>
    <row r="141" spans="3:20" x14ac:dyDescent="0.25">
      <c r="C141" s="8" t="s">
        <v>198</v>
      </c>
      <c r="E141" s="8" t="s">
        <v>198</v>
      </c>
      <c r="G141" s="8" t="s">
        <v>198</v>
      </c>
      <c r="I141" s="8" t="s">
        <v>198</v>
      </c>
      <c r="K141" s="8" t="s">
        <v>198</v>
      </c>
      <c r="M141" s="8" t="s">
        <v>198</v>
      </c>
      <c r="O141" s="59" t="str">
        <f>IF(TopPocket_X0=0,"","G00 X" &amp; TEXT((TopPocket_X0)*mm,"#####.00")&amp;" Y"&amp;TEXT((BaseTopFemaleDX-DiffLength-0.125)*mm,"#####.00")&amp;CHAR(10)&amp;s_TopPocket)</f>
        <v>G00 X254.00 Y2994.03
(&gt;&gt;&gt;SUB TopPocket)
G00 Z66.93
G91
G01 Y44.0 F2500
X41.0
Y-85.0
X-85.0
Y85.0
X45.0
Y-10.0
X34.0
Y-68.0
X-68.0
Y68.0
X34.0
Y-10.0
X24.0
Y-48.0
X-48.0
Y48.0
X24.0
Y-10.0
X14.0
Y-28.0
X-28.0
Y28.0
X14.0
Y-10.0
X4.0
Y-8.0
X-8.0
Y8.0
X4.0
G90
G00 Z110.0
(&lt;&lt;&lt;END SUB TopPocket)</v>
      </c>
      <c r="P141" s="64" t="s">
        <v>198</v>
      </c>
      <c r="R141" s="84" t="s">
        <v>32</v>
      </c>
      <c r="T141" s="7" t="s">
        <v>32</v>
      </c>
    </row>
    <row r="142" spans="3:20" x14ac:dyDescent="0.25">
      <c r="C142" s="8" t="s">
        <v>198</v>
      </c>
      <c r="E142" s="8" t="s">
        <v>198</v>
      </c>
      <c r="G142" s="8" t="s">
        <v>198</v>
      </c>
      <c r="I142" s="8" t="s">
        <v>198</v>
      </c>
      <c r="K142" s="8" t="s">
        <v>198</v>
      </c>
      <c r="M142" s="8" t="s">
        <v>198</v>
      </c>
      <c r="O142" s="59" t="s">
        <v>156</v>
      </c>
      <c r="P142" s="64" t="s">
        <v>198</v>
      </c>
      <c r="R142" s="84" t="s">
        <v>134</v>
      </c>
      <c r="T142" s="7" t="s">
        <v>134</v>
      </c>
    </row>
    <row r="143" spans="3:20" x14ac:dyDescent="0.25">
      <c r="C143" s="8" t="s">
        <v>198</v>
      </c>
      <c r="E143" s="8" t="s">
        <v>198</v>
      </c>
      <c r="G143" s="8" t="s">
        <v>198</v>
      </c>
      <c r="I143" s="8" t="s">
        <v>198</v>
      </c>
      <c r="K143" s="8" t="s">
        <v>198</v>
      </c>
      <c r="M143" s="8" t="s">
        <v>198</v>
      </c>
      <c r="O143" s="59" t="str">
        <f>IF(TopPocket_X0=0,"","G00 X" &amp; TEXT((TopPocket_X0)*mm,"#####.00")&amp;" Y53.98"&amp;CHAR(10)&amp;s_TopPocket)</f>
        <v>G00 X254.00 Y53.98
(&gt;&gt;&gt;SUB TopPocket)
G00 Z66.93
G91
G01 Y44.0 F2500
X41.0
Y-85.0
X-85.0
Y85.0
X45.0
Y-10.0
X34.0
Y-68.0
X-68.0
Y68.0
X34.0
Y-10.0
X24.0
Y-48.0
X-48.0
Y48.0
X24.0
Y-10.0
X14.0
Y-28.0
X-28.0
Y28.0
X14.0
Y-10.0
X4.0
Y-8.0
X-8.0
Y8.0
X4.0
G90
G00 Z110.0
(&lt;&lt;&lt;END SUB TopPocket)</v>
      </c>
      <c r="P143" s="64" t="s">
        <v>198</v>
      </c>
      <c r="R143" s="84" t="s">
        <v>147</v>
      </c>
      <c r="T143" s="7" t="s">
        <v>147</v>
      </c>
    </row>
    <row r="144" spans="3:20" x14ac:dyDescent="0.25">
      <c r="C144" s="8" t="s">
        <v>198</v>
      </c>
      <c r="E144" s="8" t="s">
        <v>198</v>
      </c>
      <c r="G144" s="8" t="s">
        <v>198</v>
      </c>
      <c r="I144" s="8" t="s">
        <v>198</v>
      </c>
      <c r="K144" s="8" t="s">
        <v>198</v>
      </c>
      <c r="M144" s="8" t="s">
        <v>198</v>
      </c>
      <c r="O144" s="59" t="s">
        <v>153</v>
      </c>
      <c r="P144" s="64" t="s">
        <v>198</v>
      </c>
      <c r="R144" s="84" t="s">
        <v>135</v>
      </c>
      <c r="T144" s="7" t="s">
        <v>135</v>
      </c>
    </row>
    <row r="145" spans="2:20" x14ac:dyDescent="0.25">
      <c r="C145" s="8" t="s">
        <v>198</v>
      </c>
      <c r="E145" s="8" t="s">
        <v>198</v>
      </c>
      <c r="G145" s="8" t="s">
        <v>198</v>
      </c>
      <c r="I145" s="8" t="s">
        <v>198</v>
      </c>
      <c r="K145" s="8" t="s">
        <v>198</v>
      </c>
      <c r="M145" s="8" t="s">
        <v>198</v>
      </c>
      <c r="O145" s="59" t="str">
        <f>IF(TopPocket_XM=0,"","G00 X" &amp; TEXT((TopPocket_XM)*mm,"#####.00")&amp;" Y50.8"&amp;CHAR(10)&amp;s_TopPocket)</f>
        <v/>
      </c>
      <c r="P145" s="64" t="s">
        <v>198</v>
      </c>
      <c r="R145" s="84" t="s">
        <v>148</v>
      </c>
      <c r="T145" s="7" t="s">
        <v>148</v>
      </c>
    </row>
    <row r="146" spans="2:20" x14ac:dyDescent="0.25">
      <c r="C146" s="8" t="s">
        <v>198</v>
      </c>
      <c r="E146" s="8" t="s">
        <v>198</v>
      </c>
      <c r="G146" s="8" t="s">
        <v>198</v>
      </c>
      <c r="I146" s="8" t="s">
        <v>198</v>
      </c>
      <c r="K146" s="8" t="s">
        <v>198</v>
      </c>
      <c r="M146" s="8" t="s">
        <v>198</v>
      </c>
      <c r="O146" s="59" t="s">
        <v>149</v>
      </c>
      <c r="P146" s="64" t="s">
        <v>198</v>
      </c>
      <c r="R146" s="84"/>
    </row>
    <row r="147" spans="2:20" x14ac:dyDescent="0.25">
      <c r="C147" s="8" t="s">
        <v>198</v>
      </c>
      <c r="E147" s="8" t="s">
        <v>198</v>
      </c>
      <c r="G147" s="8" t="s">
        <v>198</v>
      </c>
      <c r="I147" s="8" t="s">
        <v>198</v>
      </c>
      <c r="K147" s="8" t="s">
        <v>198</v>
      </c>
      <c r="M147" s="8" t="s">
        <v>198</v>
      </c>
      <c r="O147" s="59" t="str">
        <f>IF(TopPocket_DX=0,"","G00 X" &amp; TEXT((TopPocket_DX+0.375)*mm,"#####.00")&amp;" Y53.98"&amp;CHAR(10)&amp;s_TopPocket)</f>
        <v>G00 X53.98 Y53.98
(&gt;&gt;&gt;SUB TopPocket)
G00 Z66.93
G91
G01 Y44.0 F2500
X41.0
Y-85.0
X-85.0
Y85.0
X45.0
Y-10.0
X34.0
Y-68.0
X-68.0
Y68.0
X34.0
Y-10.0
X24.0
Y-48.0
X-48.0
Y48.0
X24.0
Y-10.0
X14.0
Y-28.0
X-28.0
Y28.0
X14.0
Y-10.0
X4.0
Y-8.0
X-8.0
Y8.0
X4.0
G90
G00 Z110.0
(&lt;&lt;&lt;END SUB TopPocket)</v>
      </c>
      <c r="P147" s="64" t="s">
        <v>198</v>
      </c>
      <c r="R147" s="84"/>
    </row>
    <row r="148" spans="2:20" x14ac:dyDescent="0.25">
      <c r="C148" s="8" t="s">
        <v>198</v>
      </c>
      <c r="E148" s="8" t="s">
        <v>198</v>
      </c>
      <c r="G148" s="8" t="s">
        <v>198</v>
      </c>
      <c r="I148" s="8" t="s">
        <v>198</v>
      </c>
      <c r="K148" s="8" t="s">
        <v>198</v>
      </c>
      <c r="M148" s="8" t="s">
        <v>198</v>
      </c>
      <c r="P148" s="64" t="s">
        <v>198</v>
      </c>
      <c r="R148" s="84"/>
    </row>
    <row r="149" spans="2:20" x14ac:dyDescent="0.25">
      <c r="B149" s="7" t="s">
        <v>31</v>
      </c>
      <c r="C149" s="8" t="s">
        <v>198</v>
      </c>
      <c r="E149" s="8" t="s">
        <v>198</v>
      </c>
      <c r="G149" s="8" t="s">
        <v>198</v>
      </c>
      <c r="I149" s="8" t="s">
        <v>198</v>
      </c>
      <c r="K149" s="8" t="s">
        <v>198</v>
      </c>
      <c r="M149" s="8" t="s">
        <v>198</v>
      </c>
      <c r="O149" s="7" t="s">
        <v>137</v>
      </c>
      <c r="P149" s="64"/>
      <c r="R149" s="84" t="str">
        <f>IF(TopPocket_DX=0,"","G00 X"&amp;TEXT((TopPocket_DX)*mm,"#####.00")&amp;" Y"&amp;TEXT((3050),"#####.00"))</f>
        <v>G00 X44.45 Y3050.00</v>
      </c>
      <c r="T149" s="7" t="str">
        <f>IF(TopPocket_DX=0,"","G00 X"&amp;TEXT((TopPocket_DX)*mm,"#####.00")&amp;" Y"&amp;TEXT((3050),"#####.00"))</f>
        <v>G00 X44.45 Y3050.00</v>
      </c>
    </row>
    <row r="150" spans="2:20" x14ac:dyDescent="0.25">
      <c r="B150" s="7" t="s">
        <v>48</v>
      </c>
      <c r="C150" s="8" t="s">
        <v>198</v>
      </c>
      <c r="D150" s="7" t="s">
        <v>31</v>
      </c>
      <c r="E150" s="8" t="s">
        <v>198</v>
      </c>
      <c r="G150" s="8" t="s">
        <v>198</v>
      </c>
      <c r="I150" s="8" t="s">
        <v>198</v>
      </c>
      <c r="K150" s="8" t="s">
        <v>198</v>
      </c>
      <c r="M150" s="8" t="s">
        <v>198</v>
      </c>
      <c r="O150" s="7" t="s">
        <v>138</v>
      </c>
      <c r="P150" s="64"/>
      <c r="R150" s="84"/>
    </row>
    <row r="151" spans="2:20" x14ac:dyDescent="0.25">
      <c r="B151" s="7" t="s">
        <v>49</v>
      </c>
      <c r="C151" s="8" t="s">
        <v>198</v>
      </c>
      <c r="D151" s="7" t="s">
        <v>48</v>
      </c>
      <c r="E151" s="8" t="s">
        <v>198</v>
      </c>
      <c r="G151" s="8" t="s">
        <v>198</v>
      </c>
      <c r="I151" s="8" t="s">
        <v>198</v>
      </c>
      <c r="K151" s="8" t="s">
        <v>198</v>
      </c>
      <c r="M151" s="8" t="s">
        <v>198</v>
      </c>
      <c r="P151" s="64"/>
      <c r="R151" s="84"/>
      <c r="T151" s="7" t="s">
        <v>149</v>
      </c>
    </row>
    <row r="152" spans="2:20" x14ac:dyDescent="0.25">
      <c r="C152" s="8" t="s">
        <v>198</v>
      </c>
      <c r="D152" s="7" t="s">
        <v>49</v>
      </c>
      <c r="E152" s="8" t="s">
        <v>198</v>
      </c>
      <c r="G152" s="8" t="s">
        <v>198</v>
      </c>
      <c r="I152" s="8" t="s">
        <v>198</v>
      </c>
      <c r="K152" s="8" t="s">
        <v>198</v>
      </c>
      <c r="M152" s="8" t="s">
        <v>198</v>
      </c>
      <c r="P152" s="64"/>
      <c r="R152" s="84"/>
      <c r="T152" s="7" t="str">
        <f>IF(TopPocket_DX=0,"","G00 X" &amp; TEXT((TopPocket_DX+0.375)*mm,"#####.00")&amp;" Y"&amp;TEXT((BaseTopFemaleDX-DiffLength-0.125)*mm,"#####.00")&amp;CHAR(10)&amp;s_TopPocket)</f>
        <v>G00 X53.98 Y2994.03
(&gt;&gt;&gt;SUB TopPocket)
G00 Z66.93
G91
G01 Y44.0 F2500
X41.0
Y-85.0
X-85.0
Y85.0
X45.0
Y-10.0
X34.0
Y-68.0
X-68.0
Y68.0
X34.0
Y-10.0
X24.0
Y-48.0
X-48.0
Y48.0
X24.0
Y-10.0
X14.0
Y-28.0
X-28.0
Y28.0
X14.0
Y-10.0
X4.0
Y-8.0
X-8.0
Y8.0
X4.0
G90
G00 Z110.0
(&lt;&lt;&lt;END SUB TopPocket)</v>
      </c>
    </row>
    <row r="153" spans="2:20" x14ac:dyDescent="0.25">
      <c r="C153" s="8" t="s">
        <v>198</v>
      </c>
      <c r="E153" s="8" t="s">
        <v>198</v>
      </c>
      <c r="G153" s="8" t="s">
        <v>198</v>
      </c>
      <c r="I153" s="8" t="s">
        <v>198</v>
      </c>
      <c r="K153" s="8" t="s">
        <v>198</v>
      </c>
      <c r="M153" s="8" t="s">
        <v>198</v>
      </c>
      <c r="O153" s="7" t="s">
        <v>31</v>
      </c>
      <c r="P153" s="64"/>
      <c r="R153" s="84"/>
      <c r="T153" s="7" t="s">
        <v>153</v>
      </c>
    </row>
    <row r="154" spans="2:20" x14ac:dyDescent="0.25">
      <c r="C154" s="8" t="s">
        <v>198</v>
      </c>
      <c r="E154" s="8" t="s">
        <v>198</v>
      </c>
      <c r="G154" s="8" t="s">
        <v>198</v>
      </c>
      <c r="I154" s="8" t="s">
        <v>198</v>
      </c>
      <c r="K154" s="8" t="s">
        <v>198</v>
      </c>
      <c r="M154" s="8" t="s">
        <v>198</v>
      </c>
      <c r="O154" s="7" t="s">
        <v>48</v>
      </c>
      <c r="P154" s="64"/>
      <c r="R154" s="84"/>
      <c r="T154" s="7" t="str">
        <f>IF(TopPocket_XM=0,"","G00 X" &amp; TEXT((TopPocket_XM)*mm,"#####.00")&amp;" Y"&amp;TEXT((BaseTopFemaleDX-DiffLength)*mm,"#####.00")&amp;CHAR(10)&amp;s_TopPocket)</f>
        <v/>
      </c>
    </row>
    <row r="155" spans="2:20" x14ac:dyDescent="0.25">
      <c r="C155" s="8" t="s">
        <v>198</v>
      </c>
      <c r="E155" s="8" t="s">
        <v>198</v>
      </c>
      <c r="G155" s="8" t="s">
        <v>198</v>
      </c>
      <c r="I155" s="8" t="s">
        <v>198</v>
      </c>
      <c r="K155" s="8" t="s">
        <v>198</v>
      </c>
      <c r="M155" s="8" t="s">
        <v>198</v>
      </c>
      <c r="O155" s="7" t="s">
        <v>49</v>
      </c>
      <c r="P155" s="64"/>
      <c r="R155" s="84"/>
      <c r="T155" s="7" t="s">
        <v>154</v>
      </c>
    </row>
    <row r="156" spans="2:20" x14ac:dyDescent="0.25">
      <c r="C156" s="8" t="s">
        <v>198</v>
      </c>
      <c r="E156" s="8" t="s">
        <v>198</v>
      </c>
      <c r="G156" s="8" t="s">
        <v>198</v>
      </c>
      <c r="I156" s="8" t="s">
        <v>198</v>
      </c>
      <c r="K156" s="8" t="s">
        <v>198</v>
      </c>
      <c r="M156" s="8" t="s">
        <v>198</v>
      </c>
      <c r="P156" s="64"/>
      <c r="R156" s="84"/>
      <c r="T156" s="7" t="str">
        <f>IF(TopPocket_X0=0,"","G00 X" &amp; TEXT((TopPocket_X0+0.375)*mm,"#####.00")&amp;" Y"&amp;TEXT((BaseTopFemaleDX-DiffLength-0.125)*mm,"#####.00")&amp;CHAR(10)&amp;s_TopPocket)</f>
        <v>G00 X263.53 Y2994.03
(&gt;&gt;&gt;SUB TopPocket)
G00 Z66.93
G91
G01 Y44.0 F2500
X41.0
Y-85.0
X-85.0
Y85.0
X45.0
Y-10.0
X34.0
Y-68.0
X-68.0
Y68.0
X34.0
Y-10.0
X24.0
Y-48.0
X-48.0
Y48.0
X24.0
Y-10.0
X14.0
Y-28.0
X-28.0
Y28.0
X14.0
Y-10.0
X4.0
Y-8.0
X-8.0
Y8.0
X4.0
G90
G00 Z110.0
(&lt;&lt;&lt;END SUB TopPocket)</v>
      </c>
    </row>
    <row r="157" spans="2:20" x14ac:dyDescent="0.25">
      <c r="C157" s="8" t="s">
        <v>198</v>
      </c>
      <c r="D157" s="7" t="s">
        <v>31</v>
      </c>
      <c r="E157" s="8" t="s">
        <v>198</v>
      </c>
      <c r="G157" s="8" t="s">
        <v>198</v>
      </c>
      <c r="I157" s="8" t="s">
        <v>198</v>
      </c>
      <c r="K157" s="8" t="s">
        <v>198</v>
      </c>
      <c r="M157" s="8" t="s">
        <v>198</v>
      </c>
      <c r="P157" s="64"/>
      <c r="R157" s="84" t="s">
        <v>156</v>
      </c>
    </row>
    <row r="158" spans="2:20" x14ac:dyDescent="0.25">
      <c r="C158" s="8" t="s">
        <v>198</v>
      </c>
      <c r="D158" s="7" t="s">
        <v>48</v>
      </c>
      <c r="E158" s="8" t="s">
        <v>198</v>
      </c>
      <c r="G158" s="8" t="s">
        <v>198</v>
      </c>
      <c r="I158" s="8" t="s">
        <v>198</v>
      </c>
      <c r="K158" s="8" t="s">
        <v>198</v>
      </c>
      <c r="M158" s="8" t="s">
        <v>198</v>
      </c>
      <c r="P158" s="64"/>
      <c r="R158" s="84" t="str">
        <f>IF(TopPocket_X0=0,"","G00 X" &amp; TEXT((TopPocket_X0+0.125)*mm,"#####.00")&amp;" Y53.98"&amp;CHAR(10)&amp;s_TopPocket)</f>
        <v>G00 X257.18 Y53.98
(&gt;&gt;&gt;SUB TopPocket)
G00 Z66.93
G91
G01 Y44.0 F2500
X41.0
Y-85.0
X-85.0
Y85.0
X45.0
Y-10.0
X34.0
Y-68.0
X-68.0
Y68.0
X34.0
Y-10.0
X24.0
Y-48.0
X-48.0
Y48.0
X24.0
Y-10.0
X14.0
Y-28.0
X-28.0
Y28.0
X14.0
Y-10.0
X4.0
Y-8.0
X-8.0
Y8.0
X4.0
G90
G00 Z110.0
(&lt;&lt;&lt;END SUB TopPocket)</v>
      </c>
    </row>
    <row r="159" spans="2:20" x14ac:dyDescent="0.25">
      <c r="C159" s="8" t="s">
        <v>198</v>
      </c>
      <c r="D159" s="7" t="s">
        <v>49</v>
      </c>
      <c r="E159" s="8" t="s">
        <v>198</v>
      </c>
      <c r="G159" s="8" t="s">
        <v>198</v>
      </c>
      <c r="I159" s="8" t="s">
        <v>198</v>
      </c>
      <c r="K159" s="8" t="s">
        <v>198</v>
      </c>
      <c r="M159" s="8" t="s">
        <v>198</v>
      </c>
      <c r="P159" s="64"/>
      <c r="R159" s="84" t="s">
        <v>153</v>
      </c>
    </row>
    <row r="160" spans="2:20" x14ac:dyDescent="0.25">
      <c r="C160" s="8" t="s">
        <v>198</v>
      </c>
      <c r="E160" s="8" t="s">
        <v>198</v>
      </c>
      <c r="G160" s="8" t="s">
        <v>198</v>
      </c>
      <c r="I160" s="8" t="s">
        <v>198</v>
      </c>
      <c r="K160" s="8" t="s">
        <v>198</v>
      </c>
      <c r="M160" s="8" t="s">
        <v>198</v>
      </c>
      <c r="P160" s="64"/>
      <c r="R160" s="84" t="str">
        <f>IF(TopPocket_XM=0,"","G00 X" &amp; TEXT((TopPocket_XM)*mm,"#####.00")&amp;" Y50.8"&amp;CHAR(10)&amp;s_TopPocket)</f>
        <v/>
      </c>
    </row>
    <row r="161" spans="3:20" x14ac:dyDescent="0.25">
      <c r="C161" s="8" t="s">
        <v>198</v>
      </c>
      <c r="E161" s="8" t="s">
        <v>198</v>
      </c>
      <c r="G161" s="8" t="s">
        <v>198</v>
      </c>
      <c r="I161" s="8" t="s">
        <v>198</v>
      </c>
      <c r="K161" s="8" t="s">
        <v>198</v>
      </c>
      <c r="M161" s="8" t="s">
        <v>198</v>
      </c>
      <c r="R161" s="84" t="s">
        <v>149</v>
      </c>
    </row>
    <row r="162" spans="3:20" x14ac:dyDescent="0.25">
      <c r="C162" s="8" t="s">
        <v>198</v>
      </c>
      <c r="E162" s="8" t="s">
        <v>198</v>
      </c>
      <c r="G162" s="8" t="s">
        <v>198</v>
      </c>
      <c r="I162" s="8" t="s">
        <v>198</v>
      </c>
      <c r="K162" s="8" t="s">
        <v>198</v>
      </c>
      <c r="M162" s="8" t="s">
        <v>198</v>
      </c>
      <c r="R162" s="84" t="str">
        <f>IF(TopPocket_DX=0,"","G00 X" &amp; TEXT((TopPocket_DX+0.375)*mm,"#####.00")&amp;" Y53.98"&amp;CHAR(10)&amp;s_TopPocket)</f>
        <v>G00 X53.98 Y53.98
(&gt;&gt;&gt;SUB TopPocket)
G00 Z66.93
G91
G01 Y44.0 F2500
X41.0
Y-85.0
X-85.0
Y85.0
X45.0
Y-10.0
X34.0
Y-68.0
X-68.0
Y68.0
X34.0
Y-10.0
X24.0
Y-48.0
X-48.0
Y48.0
X24.0
Y-10.0
X14.0
Y-28.0
X-28.0
Y28.0
X14.0
Y-10.0
X4.0
Y-8.0
X-8.0
Y8.0
X4.0
G90
G00 Z110.0
(&lt;&lt;&lt;END SUB TopPocket)</v>
      </c>
    </row>
    <row r="163" spans="3:20" x14ac:dyDescent="0.25">
      <c r="C163" s="8" t="s">
        <v>198</v>
      </c>
      <c r="E163" s="8" t="s">
        <v>198</v>
      </c>
      <c r="G163" s="8" t="s">
        <v>198</v>
      </c>
      <c r="I163" s="8" t="s">
        <v>198</v>
      </c>
      <c r="K163" s="8" t="s">
        <v>198</v>
      </c>
      <c r="M163" s="8" t="s">
        <v>198</v>
      </c>
      <c r="R163" s="84"/>
    </row>
    <row r="164" spans="3:20" x14ac:dyDescent="0.25">
      <c r="C164" s="8" t="s">
        <v>198</v>
      </c>
      <c r="E164" s="8" t="s">
        <v>198</v>
      </c>
      <c r="G164" s="8" t="s">
        <v>198</v>
      </c>
      <c r="I164" s="8" t="s">
        <v>198</v>
      </c>
      <c r="K164" s="8" t="s">
        <v>198</v>
      </c>
      <c r="M164" s="8" t="s">
        <v>198</v>
      </c>
      <c r="R164" s="84" t="s">
        <v>137</v>
      </c>
      <c r="T164" s="7" t="s">
        <v>137</v>
      </c>
    </row>
    <row r="165" spans="3:20" x14ac:dyDescent="0.25">
      <c r="C165" s="8" t="s">
        <v>198</v>
      </c>
      <c r="E165" s="8" t="s">
        <v>198</v>
      </c>
      <c r="G165" s="8" t="s">
        <v>198</v>
      </c>
      <c r="I165" s="8" t="s">
        <v>198</v>
      </c>
      <c r="K165" s="8" t="s">
        <v>198</v>
      </c>
      <c r="M165" s="8" t="s">
        <v>198</v>
      </c>
      <c r="R165" s="84" t="s">
        <v>138</v>
      </c>
      <c r="T165" s="7" t="s">
        <v>138</v>
      </c>
    </row>
    <row r="166" spans="3:20" x14ac:dyDescent="0.25">
      <c r="C166" s="8" t="s">
        <v>198</v>
      </c>
      <c r="E166" s="8" t="s">
        <v>198</v>
      </c>
      <c r="G166" s="8" t="s">
        <v>198</v>
      </c>
      <c r="I166" s="8" t="s">
        <v>198</v>
      </c>
      <c r="K166" s="8" t="s">
        <v>198</v>
      </c>
      <c r="M166" s="8" t="s">
        <v>198</v>
      </c>
      <c r="R166" s="84"/>
    </row>
    <row r="167" spans="3:20" x14ac:dyDescent="0.25">
      <c r="C167" s="8" t="s">
        <v>198</v>
      </c>
      <c r="E167" s="8" t="s">
        <v>198</v>
      </c>
      <c r="G167" s="8" t="s">
        <v>198</v>
      </c>
      <c r="I167" s="8" t="s">
        <v>198</v>
      </c>
      <c r="K167" s="8" t="s">
        <v>198</v>
      </c>
      <c r="M167" s="8" t="s">
        <v>198</v>
      </c>
      <c r="R167" s="84"/>
    </row>
    <row r="168" spans="3:20" x14ac:dyDescent="0.25">
      <c r="C168" s="8" t="s">
        <v>198</v>
      </c>
      <c r="E168" s="8" t="s">
        <v>198</v>
      </c>
      <c r="G168" s="8" t="s">
        <v>198</v>
      </c>
      <c r="I168" s="8" t="s">
        <v>198</v>
      </c>
      <c r="K168" s="8" t="s">
        <v>198</v>
      </c>
      <c r="M168" s="8" t="s">
        <v>198</v>
      </c>
      <c r="R168" s="84"/>
    </row>
    <row r="169" spans="3:20" x14ac:dyDescent="0.25">
      <c r="C169" s="8" t="s">
        <v>198</v>
      </c>
      <c r="E169" s="8" t="s">
        <v>198</v>
      </c>
      <c r="G169" s="8" t="s">
        <v>198</v>
      </c>
      <c r="I169" s="8" t="s">
        <v>198</v>
      </c>
      <c r="J169" s="7" t="s">
        <v>31</v>
      </c>
      <c r="K169" s="8" t="s">
        <v>198</v>
      </c>
      <c r="M169" s="8" t="s">
        <v>198</v>
      </c>
      <c r="R169" s="84"/>
    </row>
    <row r="170" spans="3:20" x14ac:dyDescent="0.25">
      <c r="C170" s="8" t="s">
        <v>198</v>
      </c>
      <c r="E170" s="8" t="s">
        <v>198</v>
      </c>
      <c r="F170" s="7" t="s">
        <v>31</v>
      </c>
      <c r="G170" s="8" t="s">
        <v>198</v>
      </c>
      <c r="H170" s="7" t="s">
        <v>31</v>
      </c>
      <c r="I170" s="8" t="s">
        <v>198</v>
      </c>
      <c r="J170" s="7" t="s">
        <v>48</v>
      </c>
      <c r="K170" s="8" t="s">
        <v>198</v>
      </c>
      <c r="M170" s="8" t="s">
        <v>198</v>
      </c>
      <c r="R170" s="84"/>
    </row>
    <row r="171" spans="3:20" x14ac:dyDescent="0.25">
      <c r="C171" s="8" t="s">
        <v>198</v>
      </c>
      <c r="E171" s="8" t="s">
        <v>198</v>
      </c>
      <c r="F171" s="7" t="s">
        <v>48</v>
      </c>
      <c r="G171" s="8" t="s">
        <v>198</v>
      </c>
      <c r="H171" s="7" t="s">
        <v>48</v>
      </c>
      <c r="I171" s="8" t="s">
        <v>198</v>
      </c>
      <c r="J171" s="7" t="s">
        <v>49</v>
      </c>
      <c r="K171" s="8" t="s">
        <v>198</v>
      </c>
      <c r="M171" s="8" t="s">
        <v>198</v>
      </c>
      <c r="R171" s="84"/>
    </row>
    <row r="172" spans="3:20" x14ac:dyDescent="0.25">
      <c r="C172" s="8" t="s">
        <v>198</v>
      </c>
      <c r="E172" s="8" t="s">
        <v>198</v>
      </c>
      <c r="F172" s="7" t="s">
        <v>49</v>
      </c>
      <c r="G172" s="8" t="s">
        <v>198</v>
      </c>
      <c r="H172" s="7" t="s">
        <v>49</v>
      </c>
      <c r="I172" s="8" t="s">
        <v>198</v>
      </c>
      <c r="K172" s="8" t="s">
        <v>198</v>
      </c>
      <c r="M172" s="8" t="s">
        <v>198</v>
      </c>
      <c r="R172" s="84"/>
    </row>
    <row r="173" spans="3:20" x14ac:dyDescent="0.25">
      <c r="C173" s="8" t="s">
        <v>198</v>
      </c>
      <c r="E173" s="8" t="s">
        <v>198</v>
      </c>
      <c r="G173" s="8" t="s">
        <v>198</v>
      </c>
      <c r="I173" s="8" t="s">
        <v>198</v>
      </c>
      <c r="K173" s="8" t="s">
        <v>198</v>
      </c>
      <c r="M173" s="8" t="s">
        <v>198</v>
      </c>
      <c r="R173" s="84"/>
    </row>
    <row r="174" spans="3:20" x14ac:dyDescent="0.25">
      <c r="C174" s="8" t="s">
        <v>198</v>
      </c>
      <c r="E174" s="8" t="s">
        <v>198</v>
      </c>
      <c r="G174" s="8" t="s">
        <v>198</v>
      </c>
      <c r="I174" s="8" t="s">
        <v>198</v>
      </c>
      <c r="K174" s="8" t="s">
        <v>198</v>
      </c>
      <c r="M174" s="8" t="s">
        <v>198</v>
      </c>
      <c r="R174" s="84"/>
    </row>
    <row r="175" spans="3:20" x14ac:dyDescent="0.25">
      <c r="C175" s="8" t="s">
        <v>198</v>
      </c>
      <c r="E175" s="8" t="s">
        <v>198</v>
      </c>
      <c r="G175" s="8" t="s">
        <v>198</v>
      </c>
      <c r="I175" s="8" t="s">
        <v>198</v>
      </c>
      <c r="K175" s="8" t="s">
        <v>198</v>
      </c>
      <c r="M175" s="8" t="s">
        <v>198</v>
      </c>
      <c r="R175" s="84"/>
    </row>
    <row r="176" spans="3:20" x14ac:dyDescent="0.25">
      <c r="C176" s="8" t="s">
        <v>198</v>
      </c>
      <c r="E176" s="8" t="s">
        <v>198</v>
      </c>
      <c r="G176" s="8" t="s">
        <v>198</v>
      </c>
      <c r="I176" s="8" t="s">
        <v>198</v>
      </c>
      <c r="K176" s="8" t="s">
        <v>198</v>
      </c>
      <c r="M176" s="8" t="s">
        <v>198</v>
      </c>
      <c r="R176" s="84"/>
    </row>
    <row r="177" spans="3:18" x14ac:dyDescent="0.25">
      <c r="C177" s="8" t="s">
        <v>198</v>
      </c>
      <c r="E177" s="8" t="s">
        <v>198</v>
      </c>
      <c r="G177" s="8" t="s">
        <v>198</v>
      </c>
      <c r="I177" s="8" t="s">
        <v>198</v>
      </c>
      <c r="K177" s="8" t="s">
        <v>198</v>
      </c>
      <c r="M177" s="8" t="s">
        <v>198</v>
      </c>
      <c r="R177" s="84"/>
    </row>
    <row r="178" spans="3:18" x14ac:dyDescent="0.25">
      <c r="C178" s="8" t="s">
        <v>198</v>
      </c>
      <c r="E178" s="8" t="s">
        <v>198</v>
      </c>
      <c r="G178" s="8" t="s">
        <v>198</v>
      </c>
      <c r="I178" s="8" t="s">
        <v>198</v>
      </c>
      <c r="K178" s="8" t="s">
        <v>198</v>
      </c>
      <c r="M178" s="8" t="s">
        <v>198</v>
      </c>
      <c r="R178" s="84"/>
    </row>
    <row r="179" spans="3:18" x14ac:dyDescent="0.25">
      <c r="C179" s="8" t="s">
        <v>198</v>
      </c>
      <c r="E179" s="8" t="s">
        <v>198</v>
      </c>
      <c r="G179" s="8" t="s">
        <v>198</v>
      </c>
      <c r="I179" s="8" t="s">
        <v>198</v>
      </c>
      <c r="K179" s="8" t="s">
        <v>198</v>
      </c>
      <c r="M179" s="8" t="s">
        <v>198</v>
      </c>
      <c r="R179" s="84"/>
    </row>
    <row r="180" spans="3:18" x14ac:dyDescent="0.25">
      <c r="C180" s="8" t="s">
        <v>198</v>
      </c>
      <c r="E180" s="8" t="s">
        <v>198</v>
      </c>
      <c r="G180" s="8" t="s">
        <v>198</v>
      </c>
      <c r="I180" s="8" t="s">
        <v>198</v>
      </c>
      <c r="K180" s="8" t="s">
        <v>198</v>
      </c>
      <c r="M180" s="8" t="s">
        <v>198</v>
      </c>
      <c r="R180" s="84"/>
    </row>
    <row r="181" spans="3:18" x14ac:dyDescent="0.25">
      <c r="C181" s="8" t="s">
        <v>198</v>
      </c>
      <c r="E181" s="8" t="s">
        <v>198</v>
      </c>
      <c r="G181" s="8" t="s">
        <v>198</v>
      </c>
      <c r="I181" s="8" t="s">
        <v>198</v>
      </c>
      <c r="K181" s="8" t="s">
        <v>198</v>
      </c>
      <c r="M181" s="8" t="s">
        <v>198</v>
      </c>
      <c r="R181" s="84"/>
    </row>
    <row r="182" spans="3:18" x14ac:dyDescent="0.25">
      <c r="C182" s="8" t="s">
        <v>198</v>
      </c>
      <c r="E182" s="8" t="s">
        <v>198</v>
      </c>
      <c r="G182" s="8" t="s">
        <v>198</v>
      </c>
      <c r="I182" s="8" t="s">
        <v>198</v>
      </c>
      <c r="K182" s="8" t="s">
        <v>198</v>
      </c>
      <c r="M182" s="8" t="s">
        <v>198</v>
      </c>
      <c r="R182" s="84"/>
    </row>
    <row r="183" spans="3:18" x14ac:dyDescent="0.25">
      <c r="C183" s="8" t="s">
        <v>198</v>
      </c>
      <c r="E183" s="8" t="s">
        <v>198</v>
      </c>
      <c r="G183" s="8" t="s">
        <v>198</v>
      </c>
      <c r="I183" s="8" t="s">
        <v>198</v>
      </c>
      <c r="K183" s="8" t="s">
        <v>198</v>
      </c>
      <c r="M183" s="8" t="s">
        <v>198</v>
      </c>
      <c r="R183" s="84"/>
    </row>
    <row r="184" spans="3:18" x14ac:dyDescent="0.25">
      <c r="C184" s="8" t="s">
        <v>198</v>
      </c>
      <c r="E184" s="8" t="s">
        <v>198</v>
      </c>
      <c r="G184" s="8" t="s">
        <v>198</v>
      </c>
      <c r="I184" s="8" t="s">
        <v>198</v>
      </c>
      <c r="K184" s="8" t="s">
        <v>198</v>
      </c>
      <c r="M184" s="8" t="s">
        <v>198</v>
      </c>
      <c r="R184" s="84"/>
    </row>
    <row r="185" spans="3:18" x14ac:dyDescent="0.25">
      <c r="C185" s="8" t="s">
        <v>198</v>
      </c>
      <c r="E185" s="8" t="s">
        <v>198</v>
      </c>
      <c r="G185" s="8" t="s">
        <v>198</v>
      </c>
      <c r="I185" s="8" t="s">
        <v>198</v>
      </c>
      <c r="K185" s="8" t="s">
        <v>198</v>
      </c>
      <c r="M185" s="8" t="s">
        <v>198</v>
      </c>
      <c r="R185" s="84"/>
    </row>
    <row r="186" spans="3:18" x14ac:dyDescent="0.25">
      <c r="C186" s="8" t="s">
        <v>198</v>
      </c>
      <c r="E186" s="8" t="s">
        <v>198</v>
      </c>
      <c r="G186" s="8" t="s">
        <v>198</v>
      </c>
      <c r="I186" s="8" t="s">
        <v>198</v>
      </c>
      <c r="K186" s="8" t="s">
        <v>198</v>
      </c>
      <c r="M186" s="8" t="s">
        <v>198</v>
      </c>
      <c r="R186" s="84"/>
    </row>
    <row r="187" spans="3:18" x14ac:dyDescent="0.25">
      <c r="C187" s="8" t="s">
        <v>198</v>
      </c>
      <c r="E187" s="8" t="s">
        <v>198</v>
      </c>
      <c r="G187" s="8" t="s">
        <v>198</v>
      </c>
      <c r="I187" s="8" t="s">
        <v>198</v>
      </c>
      <c r="K187" s="8" t="s">
        <v>198</v>
      </c>
      <c r="M187" s="8" t="s">
        <v>198</v>
      </c>
      <c r="R187" s="84"/>
    </row>
    <row r="188" spans="3:18" x14ac:dyDescent="0.25">
      <c r="C188" s="8" t="s">
        <v>198</v>
      </c>
      <c r="E188" s="8" t="s">
        <v>198</v>
      </c>
      <c r="G188" s="8" t="s">
        <v>198</v>
      </c>
      <c r="I188" s="8" t="s">
        <v>198</v>
      </c>
      <c r="K188" s="8" t="s">
        <v>198</v>
      </c>
      <c r="M188" s="8" t="s">
        <v>198</v>
      </c>
      <c r="R188" s="84"/>
    </row>
    <row r="189" spans="3:18" x14ac:dyDescent="0.25">
      <c r="C189" s="8" t="s">
        <v>198</v>
      </c>
      <c r="E189" s="8" t="s">
        <v>198</v>
      </c>
      <c r="G189" s="8" t="s">
        <v>198</v>
      </c>
      <c r="I189" s="8" t="s">
        <v>198</v>
      </c>
      <c r="K189" s="8" t="s">
        <v>198</v>
      </c>
      <c r="M189" s="8" t="s">
        <v>198</v>
      </c>
      <c r="R189" s="84"/>
    </row>
    <row r="190" spans="3:18" x14ac:dyDescent="0.25">
      <c r="C190" s="8" t="s">
        <v>198</v>
      </c>
      <c r="E190" s="8" t="s">
        <v>198</v>
      </c>
      <c r="G190" s="8" t="s">
        <v>198</v>
      </c>
      <c r="I190" s="8" t="s">
        <v>198</v>
      </c>
      <c r="K190" s="8" t="s">
        <v>198</v>
      </c>
      <c r="M190" s="8" t="s">
        <v>198</v>
      </c>
      <c r="R190" s="84"/>
    </row>
    <row r="191" spans="3:18" x14ac:dyDescent="0.25">
      <c r="C191" s="8" t="s">
        <v>198</v>
      </c>
      <c r="E191" s="8" t="s">
        <v>198</v>
      </c>
      <c r="G191" s="8" t="s">
        <v>198</v>
      </c>
      <c r="I191" s="8" t="s">
        <v>198</v>
      </c>
      <c r="K191" s="8" t="s">
        <v>198</v>
      </c>
      <c r="M191" s="8" t="s">
        <v>198</v>
      </c>
      <c r="R191" s="84"/>
    </row>
    <row r="192" spans="3:18" x14ac:dyDescent="0.25">
      <c r="C192" s="8" t="s">
        <v>198</v>
      </c>
      <c r="E192" s="8" t="s">
        <v>198</v>
      </c>
      <c r="G192" s="8" t="s">
        <v>198</v>
      </c>
      <c r="I192" s="8" t="s">
        <v>198</v>
      </c>
      <c r="K192" s="8" t="s">
        <v>198</v>
      </c>
      <c r="M192" s="8" t="s">
        <v>198</v>
      </c>
      <c r="R192" s="84"/>
    </row>
    <row r="193" spans="3:20" x14ac:dyDescent="0.25">
      <c r="C193" s="8" t="s">
        <v>198</v>
      </c>
      <c r="E193" s="8" t="s">
        <v>198</v>
      </c>
      <c r="G193" s="8" t="s">
        <v>198</v>
      </c>
      <c r="I193" s="8" t="s">
        <v>198</v>
      </c>
      <c r="K193" s="8" t="s">
        <v>198</v>
      </c>
      <c r="M193" s="8" t="s">
        <v>198</v>
      </c>
      <c r="R193" s="84"/>
    </row>
    <row r="194" spans="3:20" x14ac:dyDescent="0.25">
      <c r="C194" s="8" t="s">
        <v>198</v>
      </c>
      <c r="E194" s="8" t="s">
        <v>198</v>
      </c>
      <c r="G194" s="8" t="s">
        <v>198</v>
      </c>
      <c r="I194" s="8" t="s">
        <v>198</v>
      </c>
      <c r="K194" s="8" t="s">
        <v>198</v>
      </c>
      <c r="M194" s="8" t="s">
        <v>198</v>
      </c>
      <c r="R194" s="84"/>
    </row>
    <row r="195" spans="3:20" x14ac:dyDescent="0.25">
      <c r="C195" s="8" t="s">
        <v>198</v>
      </c>
      <c r="E195" s="8" t="s">
        <v>198</v>
      </c>
      <c r="G195" s="8" t="s">
        <v>198</v>
      </c>
      <c r="I195" s="8" t="s">
        <v>198</v>
      </c>
      <c r="K195" s="8" t="s">
        <v>198</v>
      </c>
      <c r="M195" s="8" t="s">
        <v>198</v>
      </c>
      <c r="R195" s="84"/>
    </row>
    <row r="196" spans="3:20" x14ac:dyDescent="0.25">
      <c r="C196" s="8" t="s">
        <v>198</v>
      </c>
      <c r="E196" s="8" t="s">
        <v>198</v>
      </c>
      <c r="G196" s="8" t="s">
        <v>198</v>
      </c>
      <c r="I196" s="8" t="s">
        <v>198</v>
      </c>
      <c r="K196" s="8" t="s">
        <v>198</v>
      </c>
      <c r="M196" s="8" t="s">
        <v>198</v>
      </c>
      <c r="R196" s="84" t="s">
        <v>31</v>
      </c>
      <c r="T196" s="7" t="s">
        <v>31</v>
      </c>
    </row>
    <row r="197" spans="3:20" x14ac:dyDescent="0.25">
      <c r="C197" s="8" t="s">
        <v>198</v>
      </c>
      <c r="E197" s="8" t="s">
        <v>198</v>
      </c>
      <c r="G197" s="8" t="s">
        <v>198</v>
      </c>
      <c r="I197" s="8" t="s">
        <v>198</v>
      </c>
      <c r="K197" s="8" t="s">
        <v>198</v>
      </c>
      <c r="M197" s="8" t="s">
        <v>198</v>
      </c>
      <c r="R197" s="84" t="s">
        <v>48</v>
      </c>
      <c r="T197" s="7" t="s">
        <v>48</v>
      </c>
    </row>
    <row r="198" spans="3:20" x14ac:dyDescent="0.25">
      <c r="R198" s="84" t="s">
        <v>49</v>
      </c>
      <c r="T198" s="7" t="s">
        <v>49</v>
      </c>
    </row>
    <row r="199" spans="3:20" x14ac:dyDescent="0.25">
      <c r="R199" s="84"/>
    </row>
  </sheetData>
  <mergeCells count="1">
    <mergeCell ref="S1:S1048576"/>
  </mergeCells>
  <phoneticPr fontId="6"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652C9-1633-4ADA-8CB6-7A44B7F1FF1F}">
  <sheetPr codeName="Sheet5"/>
  <dimension ref="A1:L49"/>
  <sheetViews>
    <sheetView zoomScale="85" zoomScaleNormal="100" workbookViewId="0">
      <selection activeCell="D16" sqref="D16"/>
    </sheetView>
  </sheetViews>
  <sheetFormatPr defaultColWidth="9.140625" defaultRowHeight="15" x14ac:dyDescent="0.25"/>
  <cols>
    <col min="1" max="1" width="9.140625" style="7"/>
    <col min="2" max="2" width="12.5703125" style="7" bestFit="1" customWidth="1"/>
    <col min="3" max="3" width="12.5703125" style="7" customWidth="1"/>
    <col min="4" max="4" width="15.140625" style="7" bestFit="1" customWidth="1"/>
    <col min="5" max="5" width="15.7109375" style="7" customWidth="1"/>
    <col min="6" max="6" width="12.140625" style="7" bestFit="1" customWidth="1"/>
    <col min="7" max="7" width="12.140625" style="7" customWidth="1"/>
    <col min="8" max="8" width="15.28515625" style="7" bestFit="1" customWidth="1"/>
    <col min="9" max="9" width="15.7109375" style="7" customWidth="1"/>
    <col min="10" max="10" width="12.140625" style="7" bestFit="1" customWidth="1"/>
    <col min="11" max="11" width="12.140625" style="7" customWidth="1"/>
    <col min="12" max="12" width="14.42578125" style="7" bestFit="1" customWidth="1"/>
    <col min="13" max="16384" width="9.140625" style="7"/>
  </cols>
  <sheetData>
    <row r="1" spans="1:12" s="8" customFormat="1" ht="23.25" x14ac:dyDescent="0.35">
      <c r="A1" s="6" t="s">
        <v>191</v>
      </c>
      <c r="B1" s="6"/>
    </row>
    <row r="2" spans="1:12" s="8" customFormat="1" x14ac:dyDescent="0.25">
      <c r="A2" s="11"/>
    </row>
    <row r="3" spans="1:12" ht="15" customHeight="1" x14ac:dyDescent="0.25">
      <c r="B3" s="8" t="s">
        <v>50</v>
      </c>
      <c r="C3" s="7" t="str">
        <f>_xlfn.TEXTJOIN(CHAR(10),TRUE,SUB_X0VPocket)</f>
        <v>(&gt;&gt;&gt;SUB X0VPocket)
G91
G01 Y-42.0  Z-50.8 F2500
X52.46
Y84.0
X-52.46
G90
G00 Z50.0
G00 X-25.0
(&lt;&lt;&lt;SUB X0VPocket)</v>
      </c>
      <c r="D3" s="8" t="s">
        <v>187</v>
      </c>
      <c r="E3" s="10"/>
      <c r="F3" s="8" t="s">
        <v>52</v>
      </c>
      <c r="G3" s="7" t="str">
        <f>_xlfn.TEXTJOIN(CHAR(10),TRUE,SUB_Y0HPocket)</f>
        <v>(&gt;&gt;&gt;SUB Y0HPocket)
G91
G01 X-42.0 F2500
Y48.775
X84.0
Y-48.775
X-84 Z-50.8
Y48.775
X84.0
Y-48.775
X-42.0
G90
G00Z50.0
G00Y-50.0
(&lt;&lt;&lt;SUB Y0HPocket)</v>
      </c>
      <c r="H3" s="8" t="s">
        <v>183</v>
      </c>
      <c r="J3" s="8" t="s">
        <v>53</v>
      </c>
      <c r="K3" s="7" t="str">
        <f>_xlfn.TEXTJOIN(CHAR(10),TRUE,SUB_TopPocket)</f>
        <v>(&gt;&gt;&gt;SUB TopPocket)
G00 Z66.93
G91
G01 Y44.0 F2500
X41.0
Y-85.0
X-85.0
Y85.0
X45.0
Y-10.0
X34.0
Y-68.0
X-68.0
Y68.0
X34.0
Y-10.0
X24.0
Y-48.0
X-48.0
Y48.0
X24.0
Y-10.0
X14.0
Y-28.0
X-28.0
Y28.0
X14.0
Y-10.0
X4.0
Y-8.0
X-8.0
Y8.0
X4.0
G90
G00 Z110.0
(&lt;&lt;&lt;END SUB TopPocket)</v>
      </c>
      <c r="L3" s="8" t="s">
        <v>181</v>
      </c>
    </row>
    <row r="4" spans="1:12" x14ac:dyDescent="0.25">
      <c r="D4" s="7" t="s">
        <v>41</v>
      </c>
      <c r="E4" s="10"/>
      <c r="H4" s="7" t="s">
        <v>41</v>
      </c>
      <c r="L4" s="7" t="s">
        <v>347</v>
      </c>
    </row>
    <row r="5" spans="1:12" x14ac:dyDescent="0.25">
      <c r="D5" s="7" t="s">
        <v>283</v>
      </c>
      <c r="H5" s="7" t="str">
        <f>"G01 X-42.0 F"&amp;T5PocketFeed</f>
        <v>G01 X-42.0 F2500</v>
      </c>
      <c r="L5" s="7" t="s">
        <v>41</v>
      </c>
    </row>
    <row r="6" spans="1:12" x14ac:dyDescent="0.25">
      <c r="D6" s="7" t="s">
        <v>379</v>
      </c>
      <c r="H6" s="7" t="s">
        <v>372</v>
      </c>
      <c r="L6" s="7" t="str">
        <f>"G01 Y44.0 F"&amp;T1PocketFeed</f>
        <v>G01 Y44.0 F2500</v>
      </c>
    </row>
    <row r="7" spans="1:12" x14ac:dyDescent="0.25">
      <c r="D7" s="7" t="s">
        <v>42</v>
      </c>
      <c r="H7" s="7" t="s">
        <v>44</v>
      </c>
      <c r="L7" s="7" t="s">
        <v>366</v>
      </c>
    </row>
    <row r="8" spans="1:12" x14ac:dyDescent="0.25">
      <c r="D8" s="7" t="s">
        <v>380</v>
      </c>
      <c r="H8" s="7" t="s">
        <v>373</v>
      </c>
      <c r="L8" s="7" t="s">
        <v>367</v>
      </c>
    </row>
    <row r="9" spans="1:12" x14ac:dyDescent="0.25">
      <c r="D9" s="7" t="s">
        <v>43</v>
      </c>
      <c r="H9" s="7" t="s">
        <v>45</v>
      </c>
      <c r="L9" s="7" t="s">
        <v>368</v>
      </c>
    </row>
    <row r="10" spans="1:12" x14ac:dyDescent="0.25">
      <c r="D10" s="7" t="s">
        <v>81</v>
      </c>
      <c r="H10" s="7" t="s">
        <v>372</v>
      </c>
      <c r="L10" s="7" t="s">
        <v>369</v>
      </c>
    </row>
    <row r="11" spans="1:12" x14ac:dyDescent="0.25">
      <c r="D11" s="7" t="s">
        <v>98</v>
      </c>
      <c r="H11" s="7" t="s">
        <v>44</v>
      </c>
      <c r="L11" s="7" t="s">
        <v>370</v>
      </c>
    </row>
    <row r="12" spans="1:12" x14ac:dyDescent="0.25">
      <c r="D12" s="8" t="s">
        <v>188</v>
      </c>
      <c r="H12" s="7" t="s">
        <v>373</v>
      </c>
      <c r="L12" s="7" t="s">
        <v>54</v>
      </c>
    </row>
    <row r="13" spans="1:12" x14ac:dyDescent="0.25">
      <c r="H13" s="7" t="s">
        <v>46</v>
      </c>
      <c r="L13" s="7" t="s">
        <v>55</v>
      </c>
    </row>
    <row r="14" spans="1:12" x14ac:dyDescent="0.25">
      <c r="D14" s="8" t="s">
        <v>189</v>
      </c>
      <c r="H14" s="7" t="s">
        <v>43</v>
      </c>
      <c r="L14" s="7" t="s">
        <v>56</v>
      </c>
    </row>
    <row r="15" spans="1:12" x14ac:dyDescent="0.25">
      <c r="D15" s="7" t="s">
        <v>41</v>
      </c>
      <c r="H15" s="7" t="s">
        <v>30</v>
      </c>
      <c r="L15" s="7" t="s">
        <v>57</v>
      </c>
    </row>
    <row r="16" spans="1:12" x14ac:dyDescent="0.25">
      <c r="D16" s="7" t="str">
        <f>"G01 Y42.0 Z-50.8 F"&amp;T5PocketFeed</f>
        <v>G01 Y42.0 Z-50.8 F2500</v>
      </c>
      <c r="H16" s="7" t="s">
        <v>36</v>
      </c>
      <c r="L16" s="7" t="s">
        <v>58</v>
      </c>
    </row>
    <row r="17" spans="2:12" x14ac:dyDescent="0.25">
      <c r="D17" s="7" t="s">
        <v>376</v>
      </c>
      <c r="H17" s="8" t="s">
        <v>184</v>
      </c>
      <c r="L17" s="7" t="s">
        <v>55</v>
      </c>
    </row>
    <row r="18" spans="2:12" x14ac:dyDescent="0.25">
      <c r="D18" s="7" t="s">
        <v>282</v>
      </c>
      <c r="L18" s="7" t="s">
        <v>54</v>
      </c>
    </row>
    <row r="19" spans="2:12" x14ac:dyDescent="0.25">
      <c r="B19" s="8" t="s">
        <v>51</v>
      </c>
      <c r="C19" s="7" t="str">
        <f>_xlfn.TEXTJOIN(CHAR(10),TRUE,SUB_DXVPocket)</f>
        <v>(&gt;&gt;&gt;SUB DXVPocket)
G91
G01 Y42.0 Z-50.8 F2500
X-42
Y-86.0
X42
Y86 
G90
G00Z50.0
(&lt;&lt;&lt;SUB DXVPocket)</v>
      </c>
      <c r="D19" s="7" t="s">
        <v>377</v>
      </c>
      <c r="F19" s="8" t="s">
        <v>116</v>
      </c>
      <c r="G19" s="7" t="str">
        <f>_xlfn.TEXTJOIN(CHAR(10),TRUE,SUB_DYHPocket)</f>
        <v>(&gt;&gt;&gt;SUB DYHPocket)
G91
G01 X-42.0 F2500
Y-61.6
X84.0
Y+61.6
X-84 Z-50.8
Y-61.6
X84.0
Y+61.6
X-42.0
G90
G00Z50.0
G00 Y3103.70
(&lt;&lt;&lt;SUB DYHPocket)</v>
      </c>
      <c r="H19" s="8" t="s">
        <v>185</v>
      </c>
      <c r="L19" s="7" t="s">
        <v>59</v>
      </c>
    </row>
    <row r="20" spans="2:12" x14ac:dyDescent="0.25">
      <c r="D20" s="7" t="s">
        <v>284</v>
      </c>
      <c r="H20" s="7" t="s">
        <v>41</v>
      </c>
      <c r="L20" s="7" t="s">
        <v>60</v>
      </c>
    </row>
    <row r="21" spans="2:12" x14ac:dyDescent="0.25">
      <c r="D21" s="7" t="s">
        <v>43</v>
      </c>
      <c r="H21" s="7" t="str">
        <f>"G01 X-42.0 F"&amp;T5PocketFeed</f>
        <v>G01 X-42.0 F2500</v>
      </c>
      <c r="L21" s="7" t="s">
        <v>61</v>
      </c>
    </row>
    <row r="22" spans="2:12" x14ac:dyDescent="0.25">
      <c r="D22" s="7" t="s">
        <v>30</v>
      </c>
      <c r="H22" s="7" t="s">
        <v>374</v>
      </c>
      <c r="L22" s="7" t="s">
        <v>62</v>
      </c>
    </row>
    <row r="23" spans="2:12" x14ac:dyDescent="0.25">
      <c r="D23" s="8" t="s">
        <v>190</v>
      </c>
      <c r="H23" s="7" t="s">
        <v>44</v>
      </c>
      <c r="L23" s="7" t="s">
        <v>59</v>
      </c>
    </row>
    <row r="24" spans="2:12" x14ac:dyDescent="0.25">
      <c r="H24" s="7" t="s">
        <v>375</v>
      </c>
      <c r="L24" s="7" t="s">
        <v>54</v>
      </c>
    </row>
    <row r="25" spans="2:12" x14ac:dyDescent="0.25">
      <c r="H25" s="7" t="s">
        <v>45</v>
      </c>
      <c r="L25" s="7" t="s">
        <v>63</v>
      </c>
    </row>
    <row r="26" spans="2:12" x14ac:dyDescent="0.25">
      <c r="H26" s="7" t="s">
        <v>374</v>
      </c>
      <c r="L26" s="7" t="s">
        <v>64</v>
      </c>
    </row>
    <row r="27" spans="2:12" x14ac:dyDescent="0.25">
      <c r="H27" s="7" t="s">
        <v>44</v>
      </c>
      <c r="L27" s="7" t="s">
        <v>65</v>
      </c>
    </row>
    <row r="28" spans="2:12" x14ac:dyDescent="0.25">
      <c r="H28" s="7" t="s">
        <v>375</v>
      </c>
      <c r="L28" s="7" t="s">
        <v>66</v>
      </c>
    </row>
    <row r="29" spans="2:12" x14ac:dyDescent="0.25">
      <c r="H29" s="7" t="s">
        <v>46</v>
      </c>
      <c r="L29" s="7" t="s">
        <v>63</v>
      </c>
    </row>
    <row r="30" spans="2:12" x14ac:dyDescent="0.25">
      <c r="H30" s="7" t="s">
        <v>43</v>
      </c>
      <c r="L30" s="7" t="s">
        <v>54</v>
      </c>
    </row>
    <row r="31" spans="2:12" x14ac:dyDescent="0.25">
      <c r="H31" s="7" t="s">
        <v>30</v>
      </c>
      <c r="L31" s="7" t="s">
        <v>67</v>
      </c>
    </row>
    <row r="32" spans="2:12" x14ac:dyDescent="0.25">
      <c r="H32" s="7" t="str">
        <f>"G00 Y"&amp;TEXT((BaseDYHPocket-DiffHeight+0.5)*mm,"#####.00")</f>
        <v>G00 Y3103.70</v>
      </c>
      <c r="L32" s="7" t="s">
        <v>68</v>
      </c>
    </row>
    <row r="33" spans="2:12" x14ac:dyDescent="0.25">
      <c r="H33" s="8" t="s">
        <v>186</v>
      </c>
      <c r="L33" s="7" t="s">
        <v>69</v>
      </c>
    </row>
    <row r="34" spans="2:12" x14ac:dyDescent="0.25">
      <c r="L34" s="7" t="s">
        <v>70</v>
      </c>
    </row>
    <row r="35" spans="2:12" x14ac:dyDescent="0.25">
      <c r="B35" s="8" t="s">
        <v>353</v>
      </c>
      <c r="C35" s="7" t="str">
        <f>_xlfn.TEXTJOIN(CHAR(10),TRUE,DIFF)</f>
        <v>(&gt;&gt;&gt;DIFF Y0HPocket)
G91
G01 X-42.0 F2500
Y52.87000094
X84.0
Y-52.87000094
X-84 Z-50.8
Y52.87000094
X84.0
Y-52.87000094
X-42.0
G90
G00Z50.0
G00Y-50.0
(&lt;&lt;&lt;DIFF Y0HPocket)</v>
      </c>
      <c r="D35" s="8" t="s">
        <v>354</v>
      </c>
      <c r="L35" s="7" t="s">
        <v>67</v>
      </c>
    </row>
    <row r="36" spans="2:12" x14ac:dyDescent="0.25">
      <c r="D36" s="7" t="s">
        <v>41</v>
      </c>
      <c r="L36" s="7" t="s">
        <v>43</v>
      </c>
    </row>
    <row r="37" spans="2:12" x14ac:dyDescent="0.25">
      <c r="D37" s="7" t="str">
        <f>"G01 X-42.0 F"&amp;T5PocketFeed</f>
        <v>G01 X-42.0 F2500</v>
      </c>
      <c r="L37" s="7" t="s">
        <v>159</v>
      </c>
    </row>
    <row r="38" spans="2:12" x14ac:dyDescent="0.25">
      <c r="D38" s="7" t="s">
        <v>356</v>
      </c>
      <c r="L38" s="8" t="s">
        <v>182</v>
      </c>
    </row>
    <row r="39" spans="2:12" x14ac:dyDescent="0.25">
      <c r="D39" s="7" t="s">
        <v>44</v>
      </c>
    </row>
    <row r="40" spans="2:12" x14ac:dyDescent="0.25">
      <c r="D40" s="7" t="s">
        <v>357</v>
      </c>
    </row>
    <row r="41" spans="2:12" x14ac:dyDescent="0.25">
      <c r="D41" s="7" t="s">
        <v>45</v>
      </c>
    </row>
    <row r="42" spans="2:12" x14ac:dyDescent="0.25">
      <c r="D42" s="7" t="s">
        <v>356</v>
      </c>
    </row>
    <row r="43" spans="2:12" x14ac:dyDescent="0.25">
      <c r="D43" s="7" t="s">
        <v>44</v>
      </c>
    </row>
    <row r="44" spans="2:12" x14ac:dyDescent="0.25">
      <c r="D44" s="7" t="s">
        <v>357</v>
      </c>
    </row>
    <row r="45" spans="2:12" x14ac:dyDescent="0.25">
      <c r="D45" s="7" t="s">
        <v>46</v>
      </c>
    </row>
    <row r="46" spans="2:12" x14ac:dyDescent="0.25">
      <c r="D46" s="7" t="s">
        <v>43</v>
      </c>
    </row>
    <row r="47" spans="2:12" x14ac:dyDescent="0.25">
      <c r="D47" s="7" t="s">
        <v>30</v>
      </c>
    </row>
    <row r="48" spans="2:12" x14ac:dyDescent="0.25">
      <c r="D48" s="7" t="s">
        <v>36</v>
      </c>
    </row>
    <row r="49" spans="4:4" x14ac:dyDescent="0.25">
      <c r="D49" s="8" t="s">
        <v>355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E9259-FA08-46A1-8741-63ECDA591AB3}">
  <sheetPr codeName="Sheet6"/>
  <dimension ref="A1:M197"/>
  <sheetViews>
    <sheetView topLeftCell="A4" workbookViewId="0">
      <selection activeCell="B4" sqref="B4"/>
    </sheetView>
  </sheetViews>
  <sheetFormatPr defaultColWidth="9.140625" defaultRowHeight="15" x14ac:dyDescent="0.25"/>
  <cols>
    <col min="1" max="1" width="10.7109375" style="7" customWidth="1"/>
    <col min="2" max="2" width="25.7109375" style="7" customWidth="1"/>
    <col min="3" max="3" width="9.140625" style="7"/>
    <col min="4" max="4" width="25.7109375" style="7" customWidth="1"/>
    <col min="5" max="5" width="9.140625" style="7"/>
    <col min="6" max="6" width="25.7109375" style="7" customWidth="1"/>
    <col min="7" max="7" width="9.140625" style="7"/>
    <col min="8" max="8" width="25.7109375" style="7" customWidth="1"/>
    <col min="9" max="9" width="9.140625" style="7"/>
    <col min="10" max="10" width="25.7109375" style="7" customWidth="1"/>
    <col min="11" max="11" width="9.140625" style="7"/>
    <col min="12" max="12" width="25.7109375" style="7" customWidth="1"/>
    <col min="13" max="16384" width="9.140625" style="7"/>
  </cols>
  <sheetData>
    <row r="1" spans="1:13" s="6" customFormat="1" ht="23.25" x14ac:dyDescent="0.35">
      <c r="A1" s="6" t="s">
        <v>239</v>
      </c>
      <c r="F1" s="7"/>
      <c r="H1" s="7"/>
      <c r="J1" s="7"/>
      <c r="L1" s="7"/>
    </row>
    <row r="2" spans="1:13" s="8" customFormat="1" x14ac:dyDescent="0.25">
      <c r="A2" s="11"/>
      <c r="F2" s="7"/>
      <c r="H2" s="7"/>
      <c r="J2" s="7"/>
      <c r="L2" s="7"/>
    </row>
    <row r="3" spans="1:13" s="8" customFormat="1" ht="15.75" thickBot="1" x14ac:dyDescent="0.3">
      <c r="B3" s="54"/>
      <c r="D3" s="54"/>
      <c r="F3" s="54"/>
      <c r="H3" s="54"/>
      <c r="J3" s="54"/>
      <c r="L3" s="54"/>
    </row>
    <row r="4" spans="1:13" s="8" customFormat="1" ht="16.5" thickTop="1" thickBot="1" x14ac:dyDescent="0.3">
      <c r="B4" s="9" t="str">
        <f>_xlfn.TEXTJOIN(CHAR(10),FALSE,User_MasterPgm1)</f>
        <v xml:space="preserve">(##### User MasterPgm1)
(&gt;&gt;&gt;SUB UserLarge1)
(SUB UserLarge1)
(&lt;&lt;&lt;END SUB UserLarge1)
(&gt;&gt;&gt;SUB UserLarge2)
(SUB UserLarge2)
(&lt;&lt;&lt;END SUB UserLarge2)
(&gt;&gt;&gt;SUB UserSmall1)
(SUB UserSmall1)
(&lt;&lt;&lt;SUB UserSmall1)
(&gt;&gt;&gt;SUB UserSmall2)
(SUB UserSmall2)
(&lt;&lt;&lt;SUB UserSmall2)
(&gt;&gt;&gt;SUB UserSmall3)
(SUB UserSmall3)
(&lt;&lt;&lt;SUB UserSmall3)
(&gt;&gt;&gt;SUB UserSmall4)
(SUB UserSmall4)
(&lt;&lt;&lt;SUB UserSmall4)
</v>
      </c>
      <c r="C4" s="8" t="s">
        <v>198</v>
      </c>
      <c r="D4" s="9" t="str">
        <f>_xlfn.TEXTJOIN(CHAR(10),FALSE,User_MasterPgm2)</f>
        <v xml:space="preserve">(##### User MasterPgm2)
(&gt;&gt;&gt;SUB UserLarge1)
(SUB UserLarge1)
(&lt;&lt;&lt;END SUB UserLarge1)
</v>
      </c>
      <c r="E4" s="8" t="s">
        <v>198</v>
      </c>
      <c r="F4" s="9" t="str">
        <f>_xlfn.TEXTJOIN(CHAR(10),FALSE,User_MasterPgm3)</f>
        <v xml:space="preserve">(##### User MasterPgm3)
</v>
      </c>
      <c r="G4" s="8" t="s">
        <v>198</v>
      </c>
      <c r="H4" s="9" t="str">
        <f>_xlfn.TEXTJOIN(CHAR(10),FALSE,User_MasterPgm4)</f>
        <v xml:space="preserve">(##### User MasterPgm4)
</v>
      </c>
      <c r="I4" s="8" t="s">
        <v>198</v>
      </c>
      <c r="J4" s="9" t="str">
        <f>_xlfn.TEXTJOIN(CHAR(10),FALSE,User_MasterPgm5)</f>
        <v xml:space="preserve">(##### User MasterPgm5)
</v>
      </c>
      <c r="K4" s="8" t="s">
        <v>198</v>
      </c>
      <c r="L4" s="9" t="str">
        <f>_xlfn.TEXTJOIN(CHAR(10),FALSE,User_MasterPgm6)</f>
        <v xml:space="preserve">(##### User MasterPgm6)
</v>
      </c>
      <c r="M4" s="8" t="s">
        <v>198</v>
      </c>
    </row>
    <row r="5" spans="1:13" ht="15.75" thickTop="1" x14ac:dyDescent="0.25">
      <c r="C5" s="8" t="s">
        <v>198</v>
      </c>
      <c r="E5" s="8" t="s">
        <v>198</v>
      </c>
      <c r="G5" s="8" t="s">
        <v>198</v>
      </c>
      <c r="I5" s="8" t="s">
        <v>198</v>
      </c>
      <c r="K5" s="8" t="s">
        <v>198</v>
      </c>
      <c r="M5" s="8" t="s">
        <v>198</v>
      </c>
    </row>
    <row r="6" spans="1:13" x14ac:dyDescent="0.25">
      <c r="C6" s="8" t="s">
        <v>198</v>
      </c>
      <c r="E6" s="8" t="s">
        <v>198</v>
      </c>
      <c r="G6" s="8" t="s">
        <v>198</v>
      </c>
      <c r="I6" s="8" t="s">
        <v>198</v>
      </c>
      <c r="K6" s="8" t="s">
        <v>198</v>
      </c>
      <c r="M6" s="8" t="s">
        <v>198</v>
      </c>
    </row>
    <row r="7" spans="1:13" s="8" customFormat="1" x14ac:dyDescent="0.25">
      <c r="B7" s="8" t="s">
        <v>246</v>
      </c>
      <c r="C7" s="8" t="s">
        <v>198</v>
      </c>
      <c r="D7" s="8" t="s">
        <v>247</v>
      </c>
      <c r="E7" s="8" t="s">
        <v>198</v>
      </c>
      <c r="F7" s="8" t="s">
        <v>248</v>
      </c>
      <c r="G7" s="8" t="s">
        <v>198</v>
      </c>
      <c r="H7" s="8" t="s">
        <v>249</v>
      </c>
      <c r="I7" s="8" t="s">
        <v>198</v>
      </c>
      <c r="J7" s="8" t="s">
        <v>250</v>
      </c>
      <c r="K7" s="8" t="s">
        <v>198</v>
      </c>
      <c r="L7" s="8" t="s">
        <v>251</v>
      </c>
      <c r="M7" s="8" t="s">
        <v>198</v>
      </c>
    </row>
    <row r="8" spans="1:13" x14ac:dyDescent="0.25">
      <c r="B8" s="55" t="s">
        <v>240</v>
      </c>
      <c r="C8" s="8" t="s">
        <v>198</v>
      </c>
      <c r="D8" s="55" t="s">
        <v>241</v>
      </c>
      <c r="E8" s="8" t="s">
        <v>198</v>
      </c>
      <c r="F8" s="55" t="s">
        <v>242</v>
      </c>
      <c r="G8" s="8" t="s">
        <v>198</v>
      </c>
      <c r="H8" s="55" t="s">
        <v>243</v>
      </c>
      <c r="I8" s="8" t="s">
        <v>198</v>
      </c>
      <c r="J8" s="55" t="s">
        <v>244</v>
      </c>
      <c r="K8" s="8" t="s">
        <v>198</v>
      </c>
      <c r="L8" s="55" t="s">
        <v>245</v>
      </c>
      <c r="M8" s="8" t="s">
        <v>198</v>
      </c>
    </row>
    <row r="9" spans="1:13" x14ac:dyDescent="0.25">
      <c r="B9" s="55" t="str">
        <f>s_UserLarge1</f>
        <v>(&gt;&gt;&gt;SUB UserLarge1)
(SUB UserLarge1)
(&lt;&lt;&lt;END SUB UserLarge1)</v>
      </c>
      <c r="C9" s="8"/>
      <c r="D9" s="55" t="str">
        <f>s_UserLarge1</f>
        <v>(&gt;&gt;&gt;SUB UserLarge1)
(SUB UserLarge1)
(&lt;&lt;&lt;END SUB UserLarge1)</v>
      </c>
      <c r="E9" s="8"/>
      <c r="F9" s="55"/>
      <c r="G9" s="8"/>
      <c r="H9" s="55"/>
      <c r="I9" s="8"/>
      <c r="J9" s="55"/>
      <c r="K9" s="8"/>
      <c r="L9" s="55"/>
      <c r="M9" s="8"/>
    </row>
    <row r="10" spans="1:13" x14ac:dyDescent="0.25">
      <c r="B10" s="55" t="str">
        <f>s_UserLarge2</f>
        <v>(&gt;&gt;&gt;SUB UserLarge2)
(SUB UserLarge2)
(&lt;&lt;&lt;END SUB UserLarge2)</v>
      </c>
      <c r="C10" s="8"/>
      <c r="D10" s="55"/>
      <c r="E10" s="8"/>
      <c r="F10" s="55"/>
      <c r="G10" s="8"/>
      <c r="H10" s="55"/>
      <c r="I10" s="8"/>
      <c r="J10" s="55"/>
      <c r="K10" s="8"/>
      <c r="L10" s="55"/>
      <c r="M10" s="8"/>
    </row>
    <row r="11" spans="1:13" x14ac:dyDescent="0.25">
      <c r="B11" s="55" t="str">
        <f>s_UserSmall1</f>
        <v>(&gt;&gt;&gt;SUB UserSmall1)
(SUB UserSmall1)
(&lt;&lt;&lt;SUB UserSmall1)</v>
      </c>
      <c r="C11" s="8"/>
      <c r="D11" s="55"/>
      <c r="E11" s="8"/>
      <c r="F11" s="55"/>
      <c r="G11" s="8"/>
      <c r="H11" s="55"/>
      <c r="I11" s="8"/>
      <c r="J11" s="55"/>
      <c r="K11" s="8"/>
      <c r="L11" s="55"/>
      <c r="M11" s="8"/>
    </row>
    <row r="12" spans="1:13" x14ac:dyDescent="0.25">
      <c r="B12" s="55" t="str">
        <f>s_UserSmall2</f>
        <v>(&gt;&gt;&gt;SUB UserSmall2)
(SUB UserSmall2)
(&lt;&lt;&lt;SUB UserSmall2)</v>
      </c>
      <c r="C12" s="8"/>
      <c r="D12" s="55"/>
      <c r="E12" s="8"/>
      <c r="F12" s="55"/>
      <c r="G12" s="8"/>
      <c r="H12" s="55"/>
      <c r="I12" s="8"/>
      <c r="J12" s="55"/>
      <c r="K12" s="8"/>
      <c r="L12" s="55"/>
      <c r="M12" s="8"/>
    </row>
    <row r="13" spans="1:13" x14ac:dyDescent="0.25">
      <c r="B13" s="55" t="str">
        <f>s_UserSmall3</f>
        <v>(&gt;&gt;&gt;SUB UserSmall3)
(SUB UserSmall3)
(&lt;&lt;&lt;SUB UserSmall3)</v>
      </c>
      <c r="C13" s="8"/>
      <c r="D13" s="55"/>
      <c r="E13" s="8"/>
      <c r="F13" s="55"/>
      <c r="G13" s="8"/>
      <c r="H13" s="55"/>
      <c r="I13" s="8"/>
      <c r="J13" s="55"/>
      <c r="K13" s="8"/>
      <c r="L13" s="55"/>
      <c r="M13" s="8"/>
    </row>
    <row r="14" spans="1:13" x14ac:dyDescent="0.25">
      <c r="B14" s="55" t="str">
        <f>s_UserSmall4</f>
        <v>(&gt;&gt;&gt;SUB UserSmall4)
(SUB UserSmall4)
(&lt;&lt;&lt;SUB UserSmall4)</v>
      </c>
      <c r="C14" s="8"/>
      <c r="D14" s="55"/>
      <c r="E14" s="8"/>
      <c r="F14" s="55"/>
      <c r="G14" s="8"/>
      <c r="H14" s="55"/>
      <c r="I14" s="8"/>
      <c r="J14" s="55"/>
      <c r="K14" s="8"/>
      <c r="L14" s="55"/>
      <c r="M14" s="8"/>
    </row>
    <row r="15" spans="1:13" x14ac:dyDescent="0.25">
      <c r="B15" s="55"/>
      <c r="C15" s="8"/>
      <c r="D15" s="55"/>
      <c r="E15" s="8"/>
      <c r="F15" s="55"/>
      <c r="G15" s="8"/>
      <c r="H15" s="55"/>
      <c r="I15" s="8"/>
      <c r="J15" s="55"/>
      <c r="K15" s="8"/>
      <c r="L15" s="55"/>
      <c r="M15" s="8"/>
    </row>
    <row r="16" spans="1:13" x14ac:dyDescent="0.25">
      <c r="B16" s="55"/>
      <c r="C16" s="8"/>
      <c r="D16" s="55"/>
      <c r="E16" s="8"/>
      <c r="F16" s="55"/>
      <c r="G16" s="8"/>
      <c r="H16" s="55"/>
      <c r="I16" s="8"/>
      <c r="J16" s="55"/>
      <c r="K16" s="8"/>
      <c r="L16" s="55"/>
      <c r="M16" s="8"/>
    </row>
    <row r="17" spans="2:13" x14ac:dyDescent="0.25">
      <c r="B17" s="55"/>
      <c r="C17" s="8"/>
      <c r="D17" s="55"/>
      <c r="E17" s="8"/>
      <c r="F17" s="55"/>
      <c r="G17" s="8"/>
      <c r="H17" s="55"/>
      <c r="I17" s="8"/>
      <c r="J17" s="55"/>
      <c r="K17" s="8"/>
      <c r="L17" s="55"/>
      <c r="M17" s="8"/>
    </row>
    <row r="18" spans="2:13" x14ac:dyDescent="0.25">
      <c r="B18" s="55"/>
      <c r="C18" s="8"/>
      <c r="D18" s="55"/>
      <c r="E18" s="8"/>
      <c r="F18" s="55"/>
      <c r="G18" s="8"/>
      <c r="H18" s="55"/>
      <c r="I18" s="8"/>
      <c r="J18" s="55"/>
      <c r="K18" s="8"/>
      <c r="L18" s="55"/>
      <c r="M18" s="8"/>
    </row>
    <row r="19" spans="2:13" x14ac:dyDescent="0.25">
      <c r="B19" s="55"/>
      <c r="C19" s="8"/>
      <c r="D19" s="55"/>
      <c r="E19" s="8"/>
      <c r="F19" s="55"/>
      <c r="G19" s="8"/>
      <c r="H19" s="55"/>
      <c r="I19" s="8"/>
      <c r="J19" s="55"/>
      <c r="K19" s="8"/>
      <c r="L19" s="55"/>
      <c r="M19" s="8"/>
    </row>
    <row r="20" spans="2:13" x14ac:dyDescent="0.25">
      <c r="B20" s="55"/>
      <c r="C20" s="8"/>
      <c r="D20" s="55"/>
      <c r="E20" s="8"/>
      <c r="F20" s="55"/>
      <c r="G20" s="8"/>
      <c r="H20" s="55"/>
      <c r="I20" s="8"/>
      <c r="J20" s="55"/>
      <c r="K20" s="8"/>
      <c r="L20" s="55"/>
      <c r="M20" s="8"/>
    </row>
    <row r="21" spans="2:13" x14ac:dyDescent="0.25">
      <c r="B21" s="55"/>
      <c r="C21" s="8"/>
      <c r="D21" s="55"/>
      <c r="E21" s="8"/>
      <c r="F21" s="55"/>
      <c r="G21" s="8"/>
      <c r="H21" s="55"/>
      <c r="I21" s="8"/>
      <c r="J21" s="55"/>
      <c r="K21" s="8"/>
      <c r="L21" s="55"/>
      <c r="M21" s="8"/>
    </row>
    <row r="22" spans="2:13" x14ac:dyDescent="0.25">
      <c r="B22" s="55"/>
      <c r="C22" s="8"/>
      <c r="D22" s="55"/>
      <c r="E22" s="8"/>
      <c r="F22" s="55"/>
      <c r="G22" s="8"/>
      <c r="H22" s="55"/>
      <c r="I22" s="8"/>
      <c r="J22" s="55"/>
      <c r="K22" s="8"/>
      <c r="L22" s="55"/>
      <c r="M22" s="8"/>
    </row>
    <row r="23" spans="2:13" x14ac:dyDescent="0.25">
      <c r="B23" s="55"/>
      <c r="C23" s="8"/>
      <c r="D23" s="55"/>
      <c r="E23" s="8"/>
      <c r="F23" s="55"/>
      <c r="G23" s="8"/>
      <c r="H23" s="55"/>
      <c r="I23" s="8"/>
      <c r="J23" s="55"/>
      <c r="K23" s="8"/>
      <c r="L23" s="55"/>
      <c r="M23" s="8"/>
    </row>
    <row r="24" spans="2:13" x14ac:dyDescent="0.25">
      <c r="B24" s="55"/>
      <c r="C24" s="8"/>
      <c r="D24" s="55"/>
      <c r="E24" s="8"/>
      <c r="F24" s="55"/>
      <c r="G24" s="8"/>
      <c r="H24" s="55"/>
      <c r="I24" s="8"/>
      <c r="J24" s="55"/>
      <c r="K24" s="8"/>
      <c r="L24" s="55"/>
      <c r="M24" s="8"/>
    </row>
    <row r="25" spans="2:13" x14ac:dyDescent="0.25">
      <c r="B25" s="55"/>
      <c r="C25" s="8"/>
      <c r="D25" s="55"/>
      <c r="E25" s="8"/>
      <c r="F25" s="55"/>
      <c r="G25" s="8"/>
      <c r="H25" s="55"/>
      <c r="I25" s="8"/>
      <c r="J25" s="55"/>
      <c r="K25" s="8"/>
      <c r="L25" s="55"/>
      <c r="M25" s="8"/>
    </row>
    <row r="26" spans="2:13" x14ac:dyDescent="0.25">
      <c r="B26" s="55"/>
      <c r="C26" s="8"/>
      <c r="D26" s="55"/>
      <c r="E26" s="8"/>
      <c r="F26" s="55"/>
      <c r="G26" s="8"/>
      <c r="H26" s="55"/>
      <c r="I26" s="8"/>
      <c r="J26" s="55"/>
      <c r="K26" s="8"/>
      <c r="L26" s="55"/>
      <c r="M26" s="8"/>
    </row>
    <row r="27" spans="2:13" x14ac:dyDescent="0.25">
      <c r="B27" s="55"/>
      <c r="C27" s="8"/>
      <c r="D27" s="55"/>
      <c r="E27" s="8"/>
      <c r="F27" s="55"/>
      <c r="G27" s="8"/>
      <c r="H27" s="55"/>
      <c r="I27" s="8"/>
      <c r="J27" s="55"/>
      <c r="K27" s="8"/>
      <c r="L27" s="55"/>
      <c r="M27" s="8"/>
    </row>
    <row r="28" spans="2:13" x14ac:dyDescent="0.25">
      <c r="B28" s="55"/>
      <c r="C28" s="8"/>
      <c r="D28" s="55"/>
      <c r="E28" s="8"/>
      <c r="F28" s="55"/>
      <c r="G28" s="8"/>
      <c r="H28" s="55"/>
      <c r="I28" s="8"/>
      <c r="J28" s="55"/>
      <c r="K28" s="8"/>
      <c r="L28" s="55"/>
      <c r="M28" s="8"/>
    </row>
    <row r="29" spans="2:13" x14ac:dyDescent="0.25">
      <c r="B29" s="55"/>
      <c r="C29" s="8"/>
      <c r="D29" s="55"/>
      <c r="E29" s="8"/>
      <c r="F29" s="55"/>
      <c r="G29" s="8"/>
      <c r="H29" s="55"/>
      <c r="I29" s="8"/>
      <c r="J29" s="55"/>
      <c r="K29" s="8"/>
      <c r="L29" s="55"/>
      <c r="M29" s="8"/>
    </row>
    <row r="30" spans="2:13" x14ac:dyDescent="0.25">
      <c r="B30" s="55"/>
      <c r="C30" s="8"/>
      <c r="D30" s="55"/>
      <c r="E30" s="8"/>
      <c r="F30" s="55"/>
      <c r="G30" s="8"/>
      <c r="H30" s="55"/>
      <c r="I30" s="8"/>
      <c r="J30" s="55"/>
      <c r="K30" s="8"/>
      <c r="L30" s="55"/>
      <c r="M30" s="8"/>
    </row>
    <row r="31" spans="2:13" x14ac:dyDescent="0.25">
      <c r="B31" s="55"/>
      <c r="C31" s="8"/>
      <c r="D31" s="55"/>
      <c r="E31" s="8"/>
      <c r="F31" s="55"/>
      <c r="G31" s="8"/>
      <c r="H31" s="55"/>
      <c r="I31" s="8"/>
      <c r="J31" s="55"/>
      <c r="K31" s="8"/>
      <c r="L31" s="55"/>
      <c r="M31" s="8"/>
    </row>
    <row r="32" spans="2:13" x14ac:dyDescent="0.25">
      <c r="B32" s="55"/>
      <c r="C32" s="8"/>
      <c r="D32" s="55"/>
      <c r="E32" s="8"/>
      <c r="F32" s="55"/>
      <c r="G32" s="8"/>
      <c r="H32" s="55"/>
      <c r="I32" s="8"/>
      <c r="J32" s="55"/>
      <c r="K32" s="8"/>
      <c r="L32" s="55"/>
      <c r="M32" s="8"/>
    </row>
    <row r="33" spans="2:13" x14ac:dyDescent="0.25">
      <c r="B33" s="55"/>
      <c r="C33" s="8"/>
      <c r="D33" s="55"/>
      <c r="E33" s="8"/>
      <c r="F33" s="55"/>
      <c r="G33" s="8"/>
      <c r="H33" s="55"/>
      <c r="I33" s="8"/>
      <c r="J33" s="55"/>
      <c r="K33" s="8"/>
      <c r="L33" s="55"/>
      <c r="M33" s="8"/>
    </row>
    <row r="34" spans="2:13" x14ac:dyDescent="0.25">
      <c r="B34" s="55"/>
      <c r="C34" s="8"/>
      <c r="D34" s="55"/>
      <c r="E34" s="8"/>
      <c r="F34" s="55"/>
      <c r="G34" s="8"/>
      <c r="H34" s="55"/>
      <c r="I34" s="8"/>
      <c r="J34" s="55"/>
      <c r="K34" s="8"/>
      <c r="L34" s="55"/>
      <c r="M34" s="8"/>
    </row>
    <row r="35" spans="2:13" x14ac:dyDescent="0.25">
      <c r="B35" s="55"/>
      <c r="C35" s="8"/>
      <c r="D35" s="55"/>
      <c r="E35" s="8"/>
      <c r="F35" s="55"/>
      <c r="G35" s="8"/>
      <c r="H35" s="55"/>
      <c r="I35" s="8"/>
      <c r="J35" s="55"/>
      <c r="K35" s="8"/>
      <c r="L35" s="55"/>
      <c r="M35" s="8"/>
    </row>
    <row r="36" spans="2:13" x14ac:dyDescent="0.25">
      <c r="B36" s="55"/>
      <c r="C36" s="8"/>
      <c r="D36" s="55"/>
      <c r="E36" s="8"/>
      <c r="F36" s="55"/>
      <c r="G36" s="8"/>
      <c r="H36" s="55"/>
      <c r="I36" s="8"/>
      <c r="J36" s="55"/>
      <c r="K36" s="8"/>
      <c r="L36" s="55"/>
      <c r="M36" s="8"/>
    </row>
    <row r="37" spans="2:13" x14ac:dyDescent="0.25">
      <c r="B37" s="55"/>
      <c r="C37" s="8"/>
      <c r="D37" s="55"/>
      <c r="E37" s="8"/>
      <c r="F37" s="55"/>
      <c r="G37" s="8"/>
      <c r="H37" s="55"/>
      <c r="I37" s="8"/>
      <c r="J37" s="55"/>
      <c r="K37" s="8"/>
      <c r="L37" s="55"/>
      <c r="M37" s="8"/>
    </row>
    <row r="38" spans="2:13" x14ac:dyDescent="0.25">
      <c r="B38" s="55"/>
      <c r="C38" s="8"/>
      <c r="D38" s="55"/>
      <c r="E38" s="8"/>
      <c r="F38" s="55"/>
      <c r="G38" s="8"/>
      <c r="H38" s="55"/>
      <c r="I38" s="8"/>
      <c r="J38" s="55"/>
      <c r="K38" s="8"/>
      <c r="L38" s="55"/>
      <c r="M38" s="8"/>
    </row>
    <row r="39" spans="2:13" x14ac:dyDescent="0.25">
      <c r="B39" s="55"/>
      <c r="C39" s="8"/>
      <c r="D39" s="55"/>
      <c r="E39" s="8"/>
      <c r="F39" s="55"/>
      <c r="G39" s="8"/>
      <c r="H39" s="55"/>
      <c r="I39" s="8"/>
      <c r="J39" s="55"/>
      <c r="K39" s="8"/>
      <c r="L39" s="55"/>
      <c r="M39" s="8"/>
    </row>
    <row r="40" spans="2:13" x14ac:dyDescent="0.25">
      <c r="B40" s="55"/>
      <c r="C40" s="8"/>
      <c r="D40" s="55"/>
      <c r="E40" s="8"/>
      <c r="F40" s="55"/>
      <c r="G40" s="8"/>
      <c r="H40" s="55"/>
      <c r="I40" s="8"/>
      <c r="J40" s="55"/>
      <c r="K40" s="8"/>
      <c r="L40" s="55"/>
      <c r="M40" s="8"/>
    </row>
    <row r="41" spans="2:13" x14ac:dyDescent="0.25">
      <c r="B41" s="55"/>
      <c r="C41" s="8"/>
      <c r="D41" s="55"/>
      <c r="E41" s="8"/>
      <c r="F41" s="55"/>
      <c r="G41" s="8"/>
      <c r="H41" s="55"/>
      <c r="I41" s="8"/>
      <c r="J41" s="55"/>
      <c r="K41" s="8"/>
      <c r="L41" s="55"/>
      <c r="M41" s="8"/>
    </row>
    <row r="42" spans="2:13" x14ac:dyDescent="0.25">
      <c r="B42" s="55"/>
      <c r="C42" s="8"/>
      <c r="D42" s="55"/>
      <c r="E42" s="8"/>
      <c r="F42" s="55"/>
      <c r="G42" s="8"/>
      <c r="H42" s="55"/>
      <c r="I42" s="8"/>
      <c r="J42" s="55"/>
      <c r="K42" s="8"/>
      <c r="L42" s="55"/>
      <c r="M42" s="8"/>
    </row>
    <row r="43" spans="2:13" x14ac:dyDescent="0.25">
      <c r="B43" s="55"/>
      <c r="C43" s="8"/>
      <c r="D43" s="55"/>
      <c r="E43" s="8"/>
      <c r="F43" s="55"/>
      <c r="G43" s="8"/>
      <c r="H43" s="55"/>
      <c r="I43" s="8"/>
      <c r="J43" s="55"/>
      <c r="K43" s="8"/>
      <c r="L43" s="55"/>
      <c r="M43" s="8"/>
    </row>
    <row r="44" spans="2:13" x14ac:dyDescent="0.25">
      <c r="B44" s="55"/>
      <c r="C44" s="8"/>
      <c r="D44" s="55"/>
      <c r="E44" s="8"/>
      <c r="F44" s="55"/>
      <c r="G44" s="8"/>
      <c r="H44" s="55"/>
      <c r="I44" s="8"/>
      <c r="J44" s="55"/>
      <c r="K44" s="8"/>
      <c r="L44" s="55"/>
      <c r="M44" s="8"/>
    </row>
    <row r="45" spans="2:13" x14ac:dyDescent="0.25">
      <c r="B45" s="55"/>
      <c r="C45" s="8"/>
      <c r="D45" s="55"/>
      <c r="E45" s="8"/>
      <c r="F45" s="55"/>
      <c r="G45" s="8"/>
      <c r="H45" s="55"/>
      <c r="I45" s="8"/>
      <c r="J45" s="55"/>
      <c r="K45" s="8"/>
      <c r="L45" s="55"/>
      <c r="M45" s="8"/>
    </row>
    <row r="46" spans="2:13" x14ac:dyDescent="0.25">
      <c r="B46" s="55"/>
      <c r="C46" s="8"/>
      <c r="D46" s="55"/>
      <c r="E46" s="8"/>
      <c r="F46" s="55"/>
      <c r="G46" s="8"/>
      <c r="H46" s="55"/>
      <c r="I46" s="8"/>
      <c r="J46" s="55"/>
      <c r="K46" s="8"/>
      <c r="L46" s="55"/>
      <c r="M46" s="8"/>
    </row>
    <row r="47" spans="2:13" x14ac:dyDescent="0.25">
      <c r="B47" s="55"/>
      <c r="C47" s="8"/>
      <c r="D47" s="55"/>
      <c r="E47" s="8"/>
      <c r="F47" s="55"/>
      <c r="G47" s="8"/>
      <c r="H47" s="55"/>
      <c r="I47" s="8"/>
      <c r="J47" s="55"/>
      <c r="K47" s="8"/>
      <c r="L47" s="55"/>
      <c r="M47" s="8"/>
    </row>
    <row r="48" spans="2:13" x14ac:dyDescent="0.25">
      <c r="B48" s="55"/>
      <c r="C48" s="8"/>
      <c r="D48" s="55"/>
      <c r="E48" s="8"/>
      <c r="F48" s="55"/>
      <c r="G48" s="8"/>
      <c r="H48" s="55"/>
      <c r="I48" s="8"/>
      <c r="J48" s="55"/>
      <c r="K48" s="8"/>
      <c r="L48" s="55"/>
      <c r="M48" s="8"/>
    </row>
    <row r="49" spans="2:13" x14ac:dyDescent="0.25">
      <c r="B49" s="55"/>
      <c r="C49" s="8"/>
      <c r="D49" s="55"/>
      <c r="E49" s="8"/>
      <c r="F49" s="55"/>
      <c r="G49" s="8"/>
      <c r="H49" s="55"/>
      <c r="I49" s="8"/>
      <c r="J49" s="55"/>
      <c r="K49" s="8"/>
      <c r="L49" s="55"/>
      <c r="M49" s="8"/>
    </row>
    <row r="50" spans="2:13" x14ac:dyDescent="0.25">
      <c r="B50" s="55"/>
      <c r="C50" s="8"/>
      <c r="D50" s="55"/>
      <c r="E50" s="8"/>
      <c r="F50" s="55"/>
      <c r="G50" s="8"/>
      <c r="H50" s="55"/>
      <c r="I50" s="8"/>
      <c r="J50" s="55"/>
      <c r="K50" s="8"/>
      <c r="L50" s="55"/>
      <c r="M50" s="8"/>
    </row>
    <row r="51" spans="2:13" x14ac:dyDescent="0.25">
      <c r="B51" s="55"/>
      <c r="C51" s="8"/>
      <c r="D51" s="55"/>
      <c r="E51" s="8"/>
      <c r="F51" s="55"/>
      <c r="G51" s="8"/>
      <c r="H51" s="55"/>
      <c r="I51" s="8"/>
      <c r="J51" s="55"/>
      <c r="K51" s="8"/>
      <c r="L51" s="55"/>
      <c r="M51" s="8"/>
    </row>
    <row r="52" spans="2:13" x14ac:dyDescent="0.25">
      <c r="B52" s="55"/>
      <c r="C52" s="8"/>
      <c r="D52" s="55"/>
      <c r="E52" s="8"/>
      <c r="F52" s="55"/>
      <c r="G52" s="8"/>
      <c r="H52" s="55"/>
      <c r="I52" s="8"/>
      <c r="J52" s="55"/>
      <c r="K52" s="8"/>
      <c r="L52" s="55"/>
      <c r="M52" s="8"/>
    </row>
    <row r="53" spans="2:13" x14ac:dyDescent="0.25">
      <c r="B53" s="55"/>
      <c r="C53" s="8"/>
      <c r="D53" s="55"/>
      <c r="E53" s="8"/>
      <c r="F53" s="55"/>
      <c r="G53" s="8"/>
      <c r="H53" s="55"/>
      <c r="I53" s="8"/>
      <c r="J53" s="55"/>
      <c r="K53" s="8"/>
      <c r="L53" s="55"/>
      <c r="M53" s="8"/>
    </row>
    <row r="54" spans="2:13" x14ac:dyDescent="0.25">
      <c r="B54" s="55"/>
      <c r="C54" s="8"/>
      <c r="D54" s="55"/>
      <c r="E54" s="8"/>
      <c r="F54" s="55"/>
      <c r="G54" s="8"/>
      <c r="H54" s="55"/>
      <c r="I54" s="8"/>
      <c r="J54" s="55"/>
      <c r="K54" s="8"/>
      <c r="L54" s="55"/>
      <c r="M54" s="8"/>
    </row>
    <row r="55" spans="2:13" x14ac:dyDescent="0.25">
      <c r="B55" s="55"/>
      <c r="C55" s="8"/>
      <c r="D55" s="55"/>
      <c r="E55" s="8"/>
      <c r="F55" s="55"/>
      <c r="G55" s="8"/>
      <c r="H55" s="55"/>
      <c r="I55" s="8"/>
      <c r="J55" s="55"/>
      <c r="K55" s="8"/>
      <c r="L55" s="55"/>
      <c r="M55" s="8"/>
    </row>
    <row r="56" spans="2:13" x14ac:dyDescent="0.25">
      <c r="B56" s="55"/>
      <c r="C56" s="8"/>
      <c r="D56" s="55"/>
      <c r="E56" s="8"/>
      <c r="F56" s="55"/>
      <c r="G56" s="8"/>
      <c r="H56" s="55"/>
      <c r="I56" s="8"/>
      <c r="J56" s="55"/>
      <c r="K56" s="8"/>
      <c r="L56" s="55"/>
      <c r="M56" s="8"/>
    </row>
    <row r="57" spans="2:13" x14ac:dyDescent="0.25">
      <c r="B57" s="55"/>
      <c r="C57" s="8"/>
      <c r="D57" s="55"/>
      <c r="E57" s="8"/>
      <c r="F57" s="55"/>
      <c r="G57" s="8"/>
      <c r="H57" s="55"/>
      <c r="I57" s="8"/>
      <c r="J57" s="55"/>
      <c r="K57" s="8"/>
      <c r="L57" s="55"/>
      <c r="M57" s="8"/>
    </row>
    <row r="58" spans="2:13" x14ac:dyDescent="0.25">
      <c r="B58" s="55"/>
      <c r="C58" s="8"/>
      <c r="D58" s="55"/>
      <c r="E58" s="8"/>
      <c r="F58" s="55"/>
      <c r="G58" s="8"/>
      <c r="H58" s="55"/>
      <c r="I58" s="8"/>
      <c r="J58" s="55"/>
      <c r="K58" s="8"/>
      <c r="L58" s="55"/>
      <c r="M58" s="8"/>
    </row>
    <row r="59" spans="2:13" x14ac:dyDescent="0.25">
      <c r="B59" s="55"/>
      <c r="C59" s="8"/>
      <c r="D59" s="55"/>
      <c r="E59" s="8"/>
      <c r="F59" s="55"/>
      <c r="G59" s="8"/>
      <c r="H59" s="55"/>
      <c r="I59" s="8"/>
      <c r="J59" s="55"/>
      <c r="K59" s="8"/>
      <c r="L59" s="55"/>
      <c r="M59" s="8"/>
    </row>
    <row r="60" spans="2:13" x14ac:dyDescent="0.25">
      <c r="B60" s="55"/>
      <c r="C60" s="8"/>
      <c r="D60" s="55"/>
      <c r="E60" s="8"/>
      <c r="F60" s="55"/>
      <c r="G60" s="8"/>
      <c r="H60" s="55"/>
      <c r="I60" s="8"/>
      <c r="J60" s="55"/>
      <c r="K60" s="8"/>
      <c r="L60" s="55"/>
      <c r="M60" s="8"/>
    </row>
    <row r="61" spans="2:13" x14ac:dyDescent="0.25">
      <c r="B61" s="55"/>
      <c r="C61" s="8"/>
      <c r="D61" s="55"/>
      <c r="E61" s="8"/>
      <c r="F61" s="55"/>
      <c r="G61" s="8"/>
      <c r="H61" s="55"/>
      <c r="I61" s="8"/>
      <c r="J61" s="55"/>
      <c r="K61" s="8"/>
      <c r="L61" s="55"/>
      <c r="M61" s="8"/>
    </row>
    <row r="62" spans="2:13" x14ac:dyDescent="0.25">
      <c r="B62" s="55"/>
      <c r="C62" s="8"/>
      <c r="D62" s="55"/>
      <c r="E62" s="8"/>
      <c r="F62" s="55"/>
      <c r="G62" s="8"/>
      <c r="H62" s="55"/>
      <c r="I62" s="8"/>
      <c r="J62" s="55"/>
      <c r="K62" s="8"/>
      <c r="L62" s="55"/>
      <c r="M62" s="8"/>
    </row>
    <row r="63" spans="2:13" x14ac:dyDescent="0.25">
      <c r="B63" s="55"/>
      <c r="C63" s="8"/>
      <c r="D63" s="55"/>
      <c r="E63" s="8"/>
      <c r="F63" s="55"/>
      <c r="G63" s="8"/>
      <c r="H63" s="55"/>
      <c r="I63" s="8"/>
      <c r="J63" s="55"/>
      <c r="K63" s="8"/>
      <c r="L63" s="55"/>
      <c r="M63" s="8"/>
    </row>
    <row r="64" spans="2:13" x14ac:dyDescent="0.25">
      <c r="B64" s="55"/>
      <c r="C64" s="8"/>
      <c r="D64" s="55"/>
      <c r="E64" s="8"/>
      <c r="F64" s="55"/>
      <c r="G64" s="8"/>
      <c r="H64" s="55"/>
      <c r="I64" s="8"/>
      <c r="J64" s="55"/>
      <c r="K64" s="8"/>
      <c r="L64" s="55"/>
      <c r="M64" s="8"/>
    </row>
    <row r="65" spans="2:13" x14ac:dyDescent="0.25">
      <c r="B65" s="55"/>
      <c r="C65" s="8"/>
      <c r="D65" s="55"/>
      <c r="E65" s="8"/>
      <c r="F65" s="55"/>
      <c r="G65" s="8"/>
      <c r="H65" s="55"/>
      <c r="I65" s="8"/>
      <c r="J65" s="55"/>
      <c r="K65" s="8"/>
      <c r="L65" s="55"/>
      <c r="M65" s="8"/>
    </row>
    <row r="66" spans="2:13" x14ac:dyDescent="0.25">
      <c r="B66" s="55"/>
      <c r="C66" s="8"/>
      <c r="D66" s="55"/>
      <c r="E66" s="8"/>
      <c r="F66" s="55"/>
      <c r="G66" s="8"/>
      <c r="H66" s="55"/>
      <c r="I66" s="8"/>
      <c r="J66" s="55"/>
      <c r="K66" s="8"/>
      <c r="L66" s="55"/>
      <c r="M66" s="8"/>
    </row>
    <row r="67" spans="2:13" x14ac:dyDescent="0.25">
      <c r="B67" s="55"/>
      <c r="C67" s="8"/>
      <c r="D67" s="55"/>
      <c r="E67" s="8"/>
      <c r="F67" s="55"/>
      <c r="G67" s="8"/>
      <c r="H67" s="55"/>
      <c r="I67" s="8"/>
      <c r="J67" s="55"/>
      <c r="K67" s="8"/>
      <c r="L67" s="55"/>
      <c r="M67" s="8"/>
    </row>
    <row r="68" spans="2:13" x14ac:dyDescent="0.25">
      <c r="B68" s="55"/>
      <c r="C68" s="8"/>
      <c r="D68" s="55"/>
      <c r="E68" s="8"/>
      <c r="F68" s="55"/>
      <c r="G68" s="8"/>
      <c r="H68" s="55"/>
      <c r="I68" s="8"/>
      <c r="J68" s="55"/>
      <c r="K68" s="8"/>
      <c r="L68" s="55"/>
      <c r="M68" s="8"/>
    </row>
    <row r="69" spans="2:13" x14ac:dyDescent="0.25">
      <c r="B69" s="55"/>
      <c r="C69" s="8"/>
      <c r="D69" s="55"/>
      <c r="E69" s="8"/>
      <c r="F69" s="55"/>
      <c r="G69" s="8"/>
      <c r="H69" s="55"/>
      <c r="I69" s="8"/>
      <c r="J69" s="55"/>
      <c r="K69" s="8"/>
      <c r="L69" s="55"/>
      <c r="M69" s="8"/>
    </row>
    <row r="70" spans="2:13" x14ac:dyDescent="0.25">
      <c r="B70" s="55"/>
      <c r="C70" s="8"/>
      <c r="D70" s="55"/>
      <c r="E70" s="8"/>
      <c r="F70" s="55"/>
      <c r="G70" s="8"/>
      <c r="H70" s="55"/>
      <c r="I70" s="8"/>
      <c r="J70" s="55"/>
      <c r="K70" s="8"/>
      <c r="L70" s="55"/>
      <c r="M70" s="8"/>
    </row>
    <row r="71" spans="2:13" x14ac:dyDescent="0.25">
      <c r="B71" s="55"/>
      <c r="C71" s="8"/>
      <c r="D71" s="55"/>
      <c r="E71" s="8"/>
      <c r="F71" s="55"/>
      <c r="G71" s="8"/>
      <c r="H71" s="55"/>
      <c r="I71" s="8"/>
      <c r="J71" s="55"/>
      <c r="K71" s="8"/>
      <c r="L71" s="55"/>
      <c r="M71" s="8"/>
    </row>
    <row r="72" spans="2:13" x14ac:dyDescent="0.25">
      <c r="B72" s="55"/>
      <c r="C72" s="8"/>
      <c r="D72" s="55"/>
      <c r="E72" s="8"/>
      <c r="F72" s="55"/>
      <c r="G72" s="8"/>
      <c r="H72" s="55"/>
      <c r="I72" s="8"/>
      <c r="J72" s="55"/>
      <c r="K72" s="8"/>
      <c r="L72" s="55"/>
      <c r="M72" s="8"/>
    </row>
    <row r="73" spans="2:13" x14ac:dyDescent="0.25">
      <c r="B73" s="55"/>
      <c r="C73" s="8"/>
      <c r="D73" s="55"/>
      <c r="E73" s="8"/>
      <c r="F73" s="55"/>
      <c r="G73" s="8"/>
      <c r="H73" s="55"/>
      <c r="I73" s="8"/>
      <c r="J73" s="55"/>
      <c r="K73" s="8"/>
      <c r="L73" s="55"/>
      <c r="M73" s="8"/>
    </row>
    <row r="74" spans="2:13" x14ac:dyDescent="0.25">
      <c r="B74" s="55"/>
      <c r="C74" s="8"/>
      <c r="D74" s="55"/>
      <c r="E74" s="8"/>
      <c r="F74" s="55"/>
      <c r="G74" s="8"/>
      <c r="H74" s="55"/>
      <c r="I74" s="8"/>
      <c r="J74" s="55"/>
      <c r="K74" s="8"/>
      <c r="L74" s="55"/>
      <c r="M74" s="8"/>
    </row>
    <row r="75" spans="2:13" x14ac:dyDescent="0.25">
      <c r="B75" s="55"/>
      <c r="C75" s="8"/>
      <c r="D75" s="55"/>
      <c r="E75" s="8"/>
      <c r="F75" s="55"/>
      <c r="G75" s="8"/>
      <c r="H75" s="55"/>
      <c r="I75" s="8"/>
      <c r="J75" s="55"/>
      <c r="K75" s="8"/>
      <c r="L75" s="55"/>
      <c r="M75" s="8"/>
    </row>
    <row r="76" spans="2:13" x14ac:dyDescent="0.25">
      <c r="B76" s="55"/>
      <c r="C76" s="8"/>
      <c r="D76" s="55"/>
      <c r="E76" s="8"/>
      <c r="F76" s="55"/>
      <c r="G76" s="8"/>
      <c r="H76" s="55"/>
      <c r="I76" s="8"/>
      <c r="J76" s="55"/>
      <c r="K76" s="8"/>
      <c r="L76" s="55"/>
      <c r="M76" s="8"/>
    </row>
    <row r="77" spans="2:13" x14ac:dyDescent="0.25">
      <c r="B77" s="55"/>
      <c r="C77" s="8"/>
      <c r="D77" s="55"/>
      <c r="E77" s="8"/>
      <c r="F77" s="55"/>
      <c r="G77" s="8"/>
      <c r="H77" s="55"/>
      <c r="I77" s="8"/>
      <c r="J77" s="55"/>
      <c r="K77" s="8"/>
      <c r="L77" s="55"/>
      <c r="M77" s="8"/>
    </row>
    <row r="78" spans="2:13" x14ac:dyDescent="0.25">
      <c r="B78" s="55"/>
      <c r="C78" s="8"/>
      <c r="D78" s="55"/>
      <c r="E78" s="8"/>
      <c r="F78" s="55"/>
      <c r="G78" s="8"/>
      <c r="H78" s="55"/>
      <c r="I78" s="8"/>
      <c r="J78" s="55"/>
      <c r="K78" s="8"/>
      <c r="L78" s="55"/>
      <c r="M78" s="8"/>
    </row>
    <row r="79" spans="2:13" x14ac:dyDescent="0.25">
      <c r="B79" s="55"/>
      <c r="C79" s="8"/>
      <c r="D79" s="55"/>
      <c r="E79" s="8"/>
      <c r="F79" s="55"/>
      <c r="G79" s="8"/>
      <c r="H79" s="55"/>
      <c r="I79" s="8"/>
      <c r="J79" s="55"/>
      <c r="K79" s="8"/>
      <c r="L79" s="55"/>
      <c r="M79" s="8"/>
    </row>
    <row r="80" spans="2:13" x14ac:dyDescent="0.25">
      <c r="B80" s="55"/>
      <c r="C80" s="8"/>
      <c r="D80" s="55"/>
      <c r="E80" s="8"/>
      <c r="F80" s="55"/>
      <c r="G80" s="8"/>
      <c r="H80" s="55"/>
      <c r="I80" s="8"/>
      <c r="J80" s="55"/>
      <c r="K80" s="8"/>
      <c r="L80" s="55"/>
      <c r="M80" s="8"/>
    </row>
    <row r="81" spans="2:13" x14ac:dyDescent="0.25">
      <c r="B81" s="55"/>
      <c r="C81" s="8"/>
      <c r="D81" s="55"/>
      <c r="E81" s="8"/>
      <c r="F81" s="55"/>
      <c r="G81" s="8"/>
      <c r="H81" s="55"/>
      <c r="I81" s="8"/>
      <c r="J81" s="55"/>
      <c r="K81" s="8"/>
      <c r="L81" s="55"/>
      <c r="M81" s="8"/>
    </row>
    <row r="82" spans="2:13" x14ac:dyDescent="0.25">
      <c r="B82" s="55"/>
      <c r="C82" s="8"/>
      <c r="D82" s="55"/>
      <c r="E82" s="8"/>
      <c r="F82" s="55"/>
      <c r="G82" s="8"/>
      <c r="H82" s="55"/>
      <c r="I82" s="8"/>
      <c r="J82" s="55"/>
      <c r="K82" s="8"/>
      <c r="L82" s="55"/>
      <c r="M82" s="8"/>
    </row>
    <row r="83" spans="2:13" x14ac:dyDescent="0.25">
      <c r="B83" s="55"/>
      <c r="C83" s="8"/>
      <c r="D83" s="55"/>
      <c r="E83" s="8"/>
      <c r="F83" s="55"/>
      <c r="G83" s="8"/>
      <c r="H83" s="55"/>
      <c r="I83" s="8"/>
      <c r="J83" s="55"/>
      <c r="K83" s="8"/>
      <c r="L83" s="55"/>
      <c r="M83" s="8"/>
    </row>
    <row r="84" spans="2:13" x14ac:dyDescent="0.25">
      <c r="B84" s="55"/>
      <c r="C84" s="8"/>
      <c r="D84" s="55"/>
      <c r="E84" s="8"/>
      <c r="F84" s="55"/>
      <c r="G84" s="8"/>
      <c r="H84" s="55"/>
      <c r="I84" s="8"/>
      <c r="J84" s="55"/>
      <c r="K84" s="8"/>
      <c r="L84" s="55"/>
      <c r="M84" s="8"/>
    </row>
    <row r="85" spans="2:13" x14ac:dyDescent="0.25">
      <c r="B85" s="55"/>
      <c r="C85" s="8"/>
      <c r="D85" s="55"/>
      <c r="E85" s="8"/>
      <c r="F85" s="55"/>
      <c r="G85" s="8"/>
      <c r="H85" s="55"/>
      <c r="I85" s="8"/>
      <c r="J85" s="55"/>
      <c r="K85" s="8"/>
      <c r="L85" s="55"/>
      <c r="M85" s="8"/>
    </row>
    <row r="86" spans="2:13" x14ac:dyDescent="0.25">
      <c r="B86" s="55"/>
      <c r="C86" s="8"/>
      <c r="D86" s="55"/>
      <c r="E86" s="8"/>
      <c r="F86" s="55"/>
      <c r="G86" s="8"/>
      <c r="H86" s="55"/>
      <c r="I86" s="8"/>
      <c r="J86" s="55"/>
      <c r="K86" s="8"/>
      <c r="L86" s="55"/>
      <c r="M86" s="8"/>
    </row>
    <row r="87" spans="2:13" x14ac:dyDescent="0.25">
      <c r="B87" s="55"/>
      <c r="C87" s="8"/>
      <c r="D87" s="55"/>
      <c r="E87" s="8"/>
      <c r="F87" s="55"/>
      <c r="G87" s="8"/>
      <c r="H87" s="55"/>
      <c r="I87" s="8"/>
      <c r="J87" s="55"/>
      <c r="K87" s="8"/>
      <c r="L87" s="55"/>
      <c r="M87" s="8"/>
    </row>
    <row r="88" spans="2:13" x14ac:dyDescent="0.25">
      <c r="B88" s="55"/>
      <c r="C88" s="8"/>
      <c r="D88" s="55"/>
      <c r="E88" s="8"/>
      <c r="F88" s="55"/>
      <c r="G88" s="8"/>
      <c r="H88" s="55"/>
      <c r="I88" s="8"/>
      <c r="J88" s="55"/>
      <c r="K88" s="8"/>
      <c r="L88" s="55"/>
      <c r="M88" s="8"/>
    </row>
    <row r="89" spans="2:13" x14ac:dyDescent="0.25">
      <c r="B89" s="55"/>
      <c r="C89" s="8"/>
      <c r="D89" s="55"/>
      <c r="E89" s="8"/>
      <c r="F89" s="55"/>
      <c r="G89" s="8"/>
      <c r="H89" s="55"/>
      <c r="I89" s="8"/>
      <c r="J89" s="55"/>
      <c r="K89" s="8"/>
      <c r="L89" s="55"/>
      <c r="M89" s="8"/>
    </row>
    <row r="90" spans="2:13" x14ac:dyDescent="0.25">
      <c r="B90" s="55"/>
      <c r="C90" s="8"/>
      <c r="D90" s="55"/>
      <c r="E90" s="8"/>
      <c r="F90" s="55"/>
      <c r="G90" s="8"/>
      <c r="H90" s="55"/>
      <c r="I90" s="8"/>
      <c r="J90" s="55"/>
      <c r="K90" s="8"/>
      <c r="L90" s="55"/>
      <c r="M90" s="8"/>
    </row>
    <row r="91" spans="2:13" x14ac:dyDescent="0.25">
      <c r="B91" s="55"/>
      <c r="C91" s="8"/>
      <c r="D91" s="55"/>
      <c r="E91" s="8"/>
      <c r="F91" s="55"/>
      <c r="G91" s="8"/>
      <c r="H91" s="55"/>
      <c r="I91" s="8"/>
      <c r="J91" s="55"/>
      <c r="K91" s="8"/>
      <c r="L91" s="55"/>
      <c r="M91" s="8"/>
    </row>
    <row r="92" spans="2:13" x14ac:dyDescent="0.25">
      <c r="B92" s="55"/>
      <c r="C92" s="8"/>
      <c r="D92" s="55"/>
      <c r="E92" s="8"/>
      <c r="F92" s="55"/>
      <c r="G92" s="8"/>
      <c r="H92" s="55"/>
      <c r="I92" s="8"/>
      <c r="J92" s="55"/>
      <c r="K92" s="8"/>
      <c r="L92" s="55"/>
      <c r="M92" s="8"/>
    </row>
    <row r="93" spans="2:13" x14ac:dyDescent="0.25">
      <c r="B93" s="55"/>
      <c r="C93" s="8"/>
      <c r="D93" s="55"/>
      <c r="E93" s="8"/>
      <c r="F93" s="55"/>
      <c r="G93" s="8"/>
      <c r="H93" s="55"/>
      <c r="I93" s="8"/>
      <c r="J93" s="55"/>
      <c r="K93" s="8"/>
      <c r="L93" s="55"/>
      <c r="M93" s="8"/>
    </row>
    <row r="94" spans="2:13" x14ac:dyDescent="0.25">
      <c r="B94" s="55"/>
      <c r="C94" s="8"/>
      <c r="D94" s="55"/>
      <c r="E94" s="8"/>
      <c r="F94" s="55"/>
      <c r="G94" s="8"/>
      <c r="H94" s="55"/>
      <c r="I94" s="8"/>
      <c r="J94" s="55"/>
      <c r="K94" s="8"/>
      <c r="L94" s="55"/>
      <c r="M94" s="8"/>
    </row>
    <row r="95" spans="2:13" x14ac:dyDescent="0.25">
      <c r="B95" s="55"/>
      <c r="C95" s="8"/>
      <c r="D95" s="55"/>
      <c r="E95" s="8"/>
      <c r="F95" s="55"/>
      <c r="G95" s="8"/>
      <c r="H95" s="55"/>
      <c r="I95" s="8"/>
      <c r="J95" s="55"/>
      <c r="K95" s="8"/>
      <c r="L95" s="55"/>
      <c r="M95" s="8"/>
    </row>
    <row r="96" spans="2:13" x14ac:dyDescent="0.25">
      <c r="B96" s="55"/>
      <c r="C96" s="8"/>
      <c r="D96" s="55"/>
      <c r="E96" s="8"/>
      <c r="F96" s="55"/>
      <c r="G96" s="8"/>
      <c r="H96" s="55"/>
      <c r="I96" s="8"/>
      <c r="J96" s="55"/>
      <c r="K96" s="8"/>
      <c r="L96" s="55"/>
      <c r="M96" s="8"/>
    </row>
    <row r="97" spans="2:13" x14ac:dyDescent="0.25">
      <c r="B97" s="55"/>
      <c r="C97" s="8"/>
      <c r="D97" s="55"/>
      <c r="E97" s="8"/>
      <c r="F97" s="55"/>
      <c r="G97" s="8"/>
      <c r="H97" s="55"/>
      <c r="I97" s="8"/>
      <c r="J97" s="55"/>
      <c r="K97" s="8"/>
      <c r="L97" s="55"/>
      <c r="M97" s="8"/>
    </row>
    <row r="98" spans="2:13" x14ac:dyDescent="0.25">
      <c r="B98" s="55"/>
      <c r="C98" s="8"/>
      <c r="D98" s="55"/>
      <c r="E98" s="8"/>
      <c r="F98" s="55"/>
      <c r="G98" s="8"/>
      <c r="H98" s="55"/>
      <c r="I98" s="8"/>
      <c r="J98" s="55"/>
      <c r="K98" s="8"/>
      <c r="L98" s="55"/>
      <c r="M98" s="8"/>
    </row>
    <row r="99" spans="2:13" x14ac:dyDescent="0.25">
      <c r="B99" s="55"/>
      <c r="C99" s="8"/>
      <c r="D99" s="55"/>
      <c r="E99" s="8"/>
      <c r="F99" s="55"/>
      <c r="G99" s="8"/>
      <c r="H99" s="55"/>
      <c r="I99" s="8"/>
      <c r="J99" s="55"/>
      <c r="K99" s="8"/>
      <c r="L99" s="55"/>
      <c r="M99" s="8"/>
    </row>
    <row r="100" spans="2:13" x14ac:dyDescent="0.25">
      <c r="B100" s="55"/>
      <c r="C100" s="8"/>
      <c r="D100" s="55"/>
      <c r="E100" s="8"/>
      <c r="F100" s="55"/>
      <c r="G100" s="8"/>
      <c r="H100" s="55"/>
      <c r="I100" s="8"/>
      <c r="J100" s="55"/>
      <c r="K100" s="8"/>
      <c r="L100" s="55"/>
      <c r="M100" s="8"/>
    </row>
    <row r="101" spans="2:13" x14ac:dyDescent="0.25">
      <c r="B101" s="55"/>
      <c r="C101" s="8"/>
      <c r="D101" s="55"/>
      <c r="E101" s="8"/>
      <c r="F101" s="55"/>
      <c r="G101" s="8"/>
      <c r="H101" s="55"/>
      <c r="I101" s="8"/>
      <c r="J101" s="55"/>
      <c r="K101" s="8"/>
      <c r="L101" s="55"/>
      <c r="M101" s="8"/>
    </row>
    <row r="102" spans="2:13" x14ac:dyDescent="0.25">
      <c r="B102" s="55"/>
      <c r="C102" s="8"/>
      <c r="D102" s="55"/>
      <c r="E102" s="8"/>
      <c r="F102" s="55"/>
      <c r="G102" s="8"/>
      <c r="H102" s="55"/>
      <c r="I102" s="8"/>
      <c r="J102" s="55"/>
      <c r="K102" s="8"/>
      <c r="L102" s="55"/>
      <c r="M102" s="8"/>
    </row>
    <row r="103" spans="2:13" x14ac:dyDescent="0.25">
      <c r="B103" s="55"/>
      <c r="C103" s="8"/>
      <c r="D103" s="55"/>
      <c r="E103" s="8"/>
      <c r="F103" s="55"/>
      <c r="G103" s="8"/>
      <c r="H103" s="55"/>
      <c r="I103" s="8"/>
      <c r="J103" s="55"/>
      <c r="K103" s="8"/>
      <c r="L103" s="55"/>
      <c r="M103" s="8"/>
    </row>
    <row r="104" spans="2:13" x14ac:dyDescent="0.25">
      <c r="B104" s="55"/>
      <c r="C104" s="8"/>
      <c r="D104" s="55"/>
      <c r="E104" s="8"/>
      <c r="F104" s="55"/>
      <c r="G104" s="8"/>
      <c r="H104" s="55"/>
      <c r="I104" s="8"/>
      <c r="J104" s="55"/>
      <c r="K104" s="8"/>
      <c r="L104" s="55"/>
      <c r="M104" s="8"/>
    </row>
    <row r="105" spans="2:13" x14ac:dyDescent="0.25">
      <c r="B105" s="55"/>
      <c r="C105" s="8"/>
      <c r="D105" s="55"/>
      <c r="E105" s="8"/>
      <c r="F105" s="55"/>
      <c r="G105" s="8"/>
      <c r="H105" s="55"/>
      <c r="I105" s="8"/>
      <c r="J105" s="55"/>
      <c r="K105" s="8"/>
      <c r="L105" s="55"/>
      <c r="M105" s="8"/>
    </row>
    <row r="106" spans="2:13" x14ac:dyDescent="0.25">
      <c r="B106" s="55"/>
      <c r="C106" s="8"/>
      <c r="D106" s="55"/>
      <c r="E106" s="8"/>
      <c r="F106" s="55"/>
      <c r="G106" s="8"/>
      <c r="H106" s="55"/>
      <c r="I106" s="8"/>
      <c r="J106" s="55"/>
      <c r="K106" s="8"/>
      <c r="L106" s="55"/>
      <c r="M106" s="8"/>
    </row>
    <row r="107" spans="2:13" x14ac:dyDescent="0.25">
      <c r="B107" s="55"/>
      <c r="C107" s="8"/>
      <c r="D107" s="55"/>
      <c r="E107" s="8"/>
      <c r="F107" s="55"/>
      <c r="G107" s="8"/>
      <c r="H107" s="55"/>
      <c r="I107" s="8"/>
      <c r="J107" s="55"/>
      <c r="K107" s="8"/>
      <c r="L107" s="55"/>
      <c r="M107" s="8"/>
    </row>
    <row r="108" spans="2:13" x14ac:dyDescent="0.25">
      <c r="B108" s="55"/>
      <c r="C108" s="8"/>
      <c r="D108" s="55"/>
      <c r="E108" s="8"/>
      <c r="F108" s="55"/>
      <c r="G108" s="8"/>
      <c r="H108" s="55"/>
      <c r="I108" s="8"/>
      <c r="J108" s="55"/>
      <c r="K108" s="8"/>
      <c r="L108" s="55"/>
      <c r="M108" s="8"/>
    </row>
    <row r="109" spans="2:13" s="8" customFormat="1" x14ac:dyDescent="0.25">
      <c r="B109" s="8" t="s">
        <v>257</v>
      </c>
      <c r="D109" s="8" t="s">
        <v>256</v>
      </c>
      <c r="F109" s="8" t="s">
        <v>255</v>
      </c>
      <c r="H109" s="8" t="s">
        <v>254</v>
      </c>
      <c r="J109" s="8" t="s">
        <v>253</v>
      </c>
      <c r="L109" s="8" t="s">
        <v>252</v>
      </c>
    </row>
    <row r="110" spans="2:13" x14ac:dyDescent="0.25">
      <c r="C110" s="8"/>
      <c r="E110" s="8"/>
      <c r="G110" s="8"/>
      <c r="I110" s="8"/>
      <c r="K110" s="8"/>
      <c r="M110" s="8"/>
    </row>
    <row r="111" spans="2:13" x14ac:dyDescent="0.25">
      <c r="C111" s="8"/>
      <c r="E111" s="8"/>
      <c r="G111" s="8"/>
      <c r="I111" s="8"/>
      <c r="K111" s="8"/>
      <c r="M111" s="8"/>
    </row>
    <row r="112" spans="2:13" x14ac:dyDescent="0.25">
      <c r="C112" s="8"/>
      <c r="E112" s="8"/>
      <c r="G112" s="8"/>
      <c r="I112" s="8"/>
      <c r="K112" s="8"/>
      <c r="M112" s="8"/>
    </row>
    <row r="113" spans="3:13" x14ac:dyDescent="0.25">
      <c r="C113" s="8"/>
      <c r="E113" s="8"/>
      <c r="G113" s="8"/>
      <c r="I113" s="8"/>
      <c r="K113" s="8"/>
      <c r="M113" s="8"/>
    </row>
    <row r="114" spans="3:13" x14ac:dyDescent="0.25">
      <c r="C114" s="8"/>
      <c r="E114" s="8"/>
      <c r="G114" s="8"/>
      <c r="I114" s="8"/>
      <c r="K114" s="8"/>
      <c r="M114" s="8"/>
    </row>
    <row r="115" spans="3:13" x14ac:dyDescent="0.25">
      <c r="C115" s="8"/>
      <c r="E115" s="8"/>
      <c r="G115" s="8"/>
      <c r="I115" s="8"/>
      <c r="K115" s="8"/>
      <c r="M115" s="8"/>
    </row>
    <row r="116" spans="3:13" x14ac:dyDescent="0.25">
      <c r="C116" s="8"/>
      <c r="E116" s="8"/>
      <c r="G116" s="8"/>
      <c r="I116" s="8"/>
      <c r="K116" s="8"/>
      <c r="M116" s="8"/>
    </row>
    <row r="117" spans="3:13" x14ac:dyDescent="0.25">
      <c r="C117" s="8"/>
      <c r="E117" s="8"/>
      <c r="G117" s="8"/>
      <c r="I117" s="8"/>
      <c r="K117" s="8"/>
      <c r="M117" s="8"/>
    </row>
    <row r="118" spans="3:13" x14ac:dyDescent="0.25">
      <c r="C118" s="8"/>
      <c r="E118" s="8"/>
      <c r="G118" s="8"/>
      <c r="I118" s="8"/>
      <c r="K118" s="8"/>
      <c r="M118" s="8"/>
    </row>
    <row r="119" spans="3:13" x14ac:dyDescent="0.25">
      <c r="C119" s="8"/>
      <c r="E119" s="8"/>
      <c r="G119" s="8"/>
      <c r="I119" s="8"/>
      <c r="K119" s="8"/>
      <c r="M119" s="8"/>
    </row>
    <row r="120" spans="3:13" x14ac:dyDescent="0.25">
      <c r="C120" s="8"/>
      <c r="E120" s="8"/>
      <c r="G120" s="8"/>
      <c r="I120" s="8"/>
      <c r="K120" s="8"/>
      <c r="M120" s="8"/>
    </row>
    <row r="121" spans="3:13" x14ac:dyDescent="0.25">
      <c r="C121" s="8"/>
      <c r="E121" s="8"/>
      <c r="G121" s="8"/>
      <c r="I121" s="8"/>
      <c r="K121" s="8"/>
      <c r="M121" s="8"/>
    </row>
    <row r="122" spans="3:13" x14ac:dyDescent="0.25">
      <c r="C122" s="8"/>
      <c r="E122" s="8"/>
      <c r="G122" s="8"/>
      <c r="I122" s="8"/>
      <c r="K122" s="8"/>
      <c r="M122" s="8"/>
    </row>
    <row r="123" spans="3:13" x14ac:dyDescent="0.25">
      <c r="C123" s="8"/>
      <c r="E123" s="8"/>
      <c r="G123" s="8"/>
      <c r="I123" s="8"/>
      <c r="K123" s="8"/>
      <c r="M123" s="8"/>
    </row>
    <row r="124" spans="3:13" x14ac:dyDescent="0.25">
      <c r="C124" s="8"/>
      <c r="E124" s="8"/>
      <c r="G124" s="8"/>
      <c r="I124" s="8"/>
      <c r="K124" s="8"/>
      <c r="M124" s="8"/>
    </row>
    <row r="125" spans="3:13" x14ac:dyDescent="0.25">
      <c r="C125" s="8"/>
      <c r="E125" s="8"/>
      <c r="G125" s="8"/>
      <c r="I125" s="8"/>
      <c r="K125" s="8"/>
      <c r="M125" s="8"/>
    </row>
    <row r="126" spans="3:13" x14ac:dyDescent="0.25">
      <c r="C126" s="8"/>
      <c r="E126" s="8"/>
      <c r="G126" s="8"/>
      <c r="I126" s="8"/>
      <c r="K126" s="8"/>
      <c r="M126" s="8"/>
    </row>
    <row r="127" spans="3:13" x14ac:dyDescent="0.25">
      <c r="C127" s="8"/>
      <c r="E127" s="8"/>
      <c r="G127" s="8"/>
      <c r="I127" s="8"/>
      <c r="K127" s="8"/>
      <c r="M127" s="8"/>
    </row>
    <row r="128" spans="3:13" x14ac:dyDescent="0.25">
      <c r="C128" s="8"/>
      <c r="E128" s="8"/>
      <c r="G128" s="8"/>
      <c r="I128" s="8"/>
      <c r="K128" s="8"/>
      <c r="M128" s="8"/>
    </row>
    <row r="129" spans="3:13" x14ac:dyDescent="0.25">
      <c r="C129" s="8"/>
      <c r="E129" s="8"/>
      <c r="G129" s="8"/>
      <c r="I129" s="8"/>
      <c r="K129" s="8"/>
      <c r="M129" s="8"/>
    </row>
    <row r="130" spans="3:13" x14ac:dyDescent="0.25">
      <c r="C130" s="8"/>
      <c r="E130" s="8"/>
      <c r="G130" s="8"/>
      <c r="I130" s="8"/>
      <c r="K130" s="8"/>
      <c r="M130" s="8"/>
    </row>
    <row r="131" spans="3:13" x14ac:dyDescent="0.25">
      <c r="C131" s="8"/>
      <c r="E131" s="8"/>
      <c r="G131" s="8"/>
      <c r="I131" s="8"/>
      <c r="K131" s="8"/>
      <c r="M131" s="8"/>
    </row>
    <row r="132" spans="3:13" x14ac:dyDescent="0.25">
      <c r="C132" s="8"/>
      <c r="E132" s="8"/>
      <c r="G132" s="8"/>
      <c r="I132" s="8"/>
      <c r="K132" s="8"/>
      <c r="M132" s="8"/>
    </row>
    <row r="133" spans="3:13" x14ac:dyDescent="0.25">
      <c r="C133" s="8"/>
      <c r="E133" s="8"/>
      <c r="G133" s="8"/>
      <c r="I133" s="8"/>
      <c r="K133" s="8"/>
      <c r="M133" s="8"/>
    </row>
    <row r="134" spans="3:13" x14ac:dyDescent="0.25">
      <c r="C134" s="8"/>
      <c r="E134" s="8"/>
      <c r="G134" s="8"/>
      <c r="I134" s="8"/>
      <c r="K134" s="8"/>
      <c r="M134" s="8"/>
    </row>
    <row r="135" spans="3:13" x14ac:dyDescent="0.25">
      <c r="C135" s="8"/>
      <c r="E135" s="8"/>
      <c r="G135" s="8"/>
      <c r="I135" s="8"/>
      <c r="K135" s="8"/>
      <c r="M135" s="8"/>
    </row>
    <row r="136" spans="3:13" x14ac:dyDescent="0.25">
      <c r="C136" s="8"/>
      <c r="E136" s="8"/>
      <c r="G136" s="8"/>
      <c r="I136" s="8"/>
      <c r="K136" s="8"/>
      <c r="M136" s="8"/>
    </row>
    <row r="137" spans="3:13" x14ac:dyDescent="0.25">
      <c r="C137" s="8"/>
      <c r="E137" s="8"/>
      <c r="G137" s="8"/>
      <c r="I137" s="8"/>
      <c r="K137" s="8"/>
      <c r="M137" s="8"/>
    </row>
    <row r="138" spans="3:13" x14ac:dyDescent="0.25">
      <c r="C138" s="8"/>
      <c r="E138" s="8"/>
      <c r="G138" s="8"/>
      <c r="I138" s="8"/>
      <c r="K138" s="8"/>
      <c r="M138" s="8"/>
    </row>
    <row r="139" spans="3:13" x14ac:dyDescent="0.25">
      <c r="C139" s="8"/>
      <c r="E139" s="8"/>
      <c r="G139" s="8"/>
      <c r="I139" s="8"/>
      <c r="K139" s="8"/>
      <c r="M139" s="8"/>
    </row>
    <row r="140" spans="3:13" x14ac:dyDescent="0.25">
      <c r="C140" s="8"/>
      <c r="E140" s="8"/>
      <c r="G140" s="8"/>
      <c r="I140" s="8"/>
      <c r="K140" s="8"/>
      <c r="M140" s="8"/>
    </row>
    <row r="141" spans="3:13" x14ac:dyDescent="0.25">
      <c r="C141" s="8"/>
      <c r="E141" s="8"/>
      <c r="G141" s="8"/>
      <c r="I141" s="8"/>
      <c r="K141" s="8"/>
      <c r="M141" s="8"/>
    </row>
    <row r="142" spans="3:13" x14ac:dyDescent="0.25">
      <c r="C142" s="8"/>
      <c r="E142" s="8"/>
      <c r="G142" s="8"/>
      <c r="I142" s="8"/>
      <c r="K142" s="8"/>
      <c r="M142" s="8"/>
    </row>
    <row r="143" spans="3:13" x14ac:dyDescent="0.25">
      <c r="C143" s="8"/>
      <c r="E143" s="8"/>
      <c r="G143" s="8"/>
      <c r="I143" s="8"/>
      <c r="K143" s="8"/>
      <c r="M143" s="8"/>
    </row>
    <row r="144" spans="3:13" x14ac:dyDescent="0.25">
      <c r="C144" s="8"/>
      <c r="E144" s="8"/>
      <c r="G144" s="8"/>
      <c r="I144" s="8"/>
      <c r="K144" s="8"/>
      <c r="M144" s="8"/>
    </row>
    <row r="145" spans="3:13" x14ac:dyDescent="0.25">
      <c r="C145" s="8"/>
      <c r="E145" s="8"/>
      <c r="G145" s="8"/>
      <c r="I145" s="8"/>
      <c r="K145" s="8"/>
      <c r="M145" s="8"/>
    </row>
    <row r="146" spans="3:13" x14ac:dyDescent="0.25">
      <c r="C146" s="8"/>
      <c r="E146" s="8"/>
      <c r="G146" s="8"/>
      <c r="I146" s="8"/>
      <c r="K146" s="8"/>
      <c r="M146" s="8"/>
    </row>
    <row r="147" spans="3:13" x14ac:dyDescent="0.25">
      <c r="C147" s="8"/>
      <c r="E147" s="8"/>
      <c r="G147" s="8"/>
      <c r="I147" s="8"/>
      <c r="K147" s="8"/>
      <c r="M147" s="8"/>
    </row>
    <row r="148" spans="3:13" x14ac:dyDescent="0.25">
      <c r="C148" s="8"/>
      <c r="E148" s="8"/>
      <c r="G148" s="8"/>
      <c r="I148" s="8"/>
      <c r="K148" s="8"/>
      <c r="M148" s="8"/>
    </row>
    <row r="149" spans="3:13" x14ac:dyDescent="0.25">
      <c r="C149" s="8"/>
      <c r="E149" s="8"/>
      <c r="G149" s="8"/>
      <c r="I149" s="8"/>
      <c r="K149" s="8"/>
      <c r="M149" s="8"/>
    </row>
    <row r="150" spans="3:13" x14ac:dyDescent="0.25">
      <c r="C150" s="8"/>
      <c r="E150" s="8"/>
      <c r="G150" s="8"/>
      <c r="I150" s="8"/>
      <c r="K150" s="8"/>
      <c r="M150" s="8"/>
    </row>
    <row r="151" spans="3:13" x14ac:dyDescent="0.25">
      <c r="C151" s="8"/>
      <c r="E151" s="8"/>
      <c r="G151" s="8"/>
      <c r="I151" s="8"/>
      <c r="K151" s="8"/>
      <c r="M151" s="8"/>
    </row>
    <row r="152" spans="3:13" x14ac:dyDescent="0.25">
      <c r="C152" s="8"/>
      <c r="E152" s="8"/>
      <c r="G152" s="8"/>
      <c r="I152" s="8"/>
      <c r="K152" s="8"/>
      <c r="M152" s="8"/>
    </row>
    <row r="153" spans="3:13" x14ac:dyDescent="0.25">
      <c r="C153" s="8"/>
      <c r="E153" s="8"/>
      <c r="G153" s="8"/>
      <c r="I153" s="8"/>
      <c r="K153" s="8"/>
      <c r="M153" s="8"/>
    </row>
    <row r="154" spans="3:13" x14ac:dyDescent="0.25">
      <c r="C154" s="8"/>
      <c r="E154" s="8"/>
      <c r="G154" s="8"/>
      <c r="I154" s="8"/>
      <c r="K154" s="8"/>
      <c r="M154" s="8"/>
    </row>
    <row r="155" spans="3:13" x14ac:dyDescent="0.25">
      <c r="C155" s="8"/>
      <c r="E155" s="8"/>
      <c r="G155" s="8"/>
      <c r="I155" s="8"/>
      <c r="K155" s="8"/>
      <c r="M155" s="8"/>
    </row>
    <row r="156" spans="3:13" x14ac:dyDescent="0.25">
      <c r="C156" s="8"/>
      <c r="E156" s="8"/>
      <c r="G156" s="8"/>
      <c r="I156" s="8"/>
      <c r="K156" s="8"/>
      <c r="M156" s="8"/>
    </row>
    <row r="157" spans="3:13" x14ac:dyDescent="0.25">
      <c r="C157" s="8"/>
      <c r="E157" s="8"/>
      <c r="G157" s="8"/>
      <c r="I157" s="8"/>
      <c r="K157" s="8"/>
      <c r="M157" s="8"/>
    </row>
    <row r="158" spans="3:13" x14ac:dyDescent="0.25">
      <c r="C158" s="8"/>
      <c r="E158" s="8"/>
      <c r="G158" s="8"/>
      <c r="I158" s="8"/>
      <c r="K158" s="8"/>
      <c r="M158" s="8"/>
    </row>
    <row r="159" spans="3:13" x14ac:dyDescent="0.25">
      <c r="C159" s="8"/>
      <c r="E159" s="8"/>
      <c r="G159" s="8"/>
      <c r="I159" s="8"/>
      <c r="K159" s="8"/>
      <c r="M159" s="8"/>
    </row>
    <row r="160" spans="3:13" x14ac:dyDescent="0.25">
      <c r="C160" s="8"/>
      <c r="E160" s="8"/>
      <c r="G160" s="8"/>
      <c r="I160" s="8"/>
      <c r="K160" s="8"/>
      <c r="M160" s="8"/>
    </row>
    <row r="161" spans="3:13" x14ac:dyDescent="0.25">
      <c r="C161" s="8"/>
      <c r="E161" s="8"/>
      <c r="G161" s="8"/>
      <c r="I161" s="8"/>
      <c r="K161" s="8"/>
      <c r="M161" s="8"/>
    </row>
    <row r="162" spans="3:13" x14ac:dyDescent="0.25">
      <c r="C162" s="8"/>
      <c r="E162" s="8"/>
      <c r="G162" s="8"/>
      <c r="I162" s="8"/>
      <c r="K162" s="8"/>
      <c r="M162" s="8"/>
    </row>
    <row r="163" spans="3:13" x14ac:dyDescent="0.25">
      <c r="C163" s="8"/>
      <c r="E163" s="8"/>
      <c r="G163" s="8"/>
      <c r="I163" s="8"/>
      <c r="K163" s="8"/>
      <c r="M163" s="8"/>
    </row>
    <row r="164" spans="3:13" x14ac:dyDescent="0.25">
      <c r="C164" s="8"/>
      <c r="E164" s="8"/>
      <c r="G164" s="8"/>
      <c r="I164" s="8"/>
      <c r="K164" s="8"/>
      <c r="M164" s="8"/>
    </row>
    <row r="165" spans="3:13" x14ac:dyDescent="0.25">
      <c r="C165" s="8"/>
      <c r="E165" s="8"/>
      <c r="G165" s="8"/>
      <c r="I165" s="8"/>
      <c r="K165" s="8"/>
      <c r="M165" s="8"/>
    </row>
    <row r="166" spans="3:13" x14ac:dyDescent="0.25">
      <c r="C166" s="8"/>
      <c r="E166" s="8"/>
      <c r="G166" s="8"/>
      <c r="I166" s="8"/>
      <c r="K166" s="8"/>
      <c r="M166" s="8"/>
    </row>
    <row r="167" spans="3:13" x14ac:dyDescent="0.25">
      <c r="C167" s="8"/>
      <c r="E167" s="8"/>
      <c r="G167" s="8"/>
      <c r="I167" s="8"/>
      <c r="K167" s="8"/>
      <c r="M167" s="8"/>
    </row>
    <row r="168" spans="3:13" x14ac:dyDescent="0.25">
      <c r="C168" s="8"/>
      <c r="E168" s="8"/>
      <c r="G168" s="8"/>
      <c r="I168" s="8"/>
      <c r="K168" s="8"/>
      <c r="M168" s="8"/>
    </row>
    <row r="169" spans="3:13" x14ac:dyDescent="0.25">
      <c r="C169" s="8"/>
      <c r="E169" s="8"/>
      <c r="G169" s="8"/>
      <c r="I169" s="8"/>
      <c r="K169" s="8"/>
      <c r="M169" s="8"/>
    </row>
    <row r="170" spans="3:13" x14ac:dyDescent="0.25">
      <c r="C170" s="8"/>
      <c r="E170" s="8"/>
      <c r="G170" s="8"/>
      <c r="I170" s="8"/>
      <c r="K170" s="8"/>
      <c r="M170" s="8"/>
    </row>
    <row r="171" spans="3:13" x14ac:dyDescent="0.25">
      <c r="C171" s="8"/>
      <c r="E171" s="8"/>
      <c r="G171" s="8"/>
      <c r="I171" s="8"/>
      <c r="K171" s="8"/>
      <c r="M171" s="8"/>
    </row>
    <row r="172" spans="3:13" x14ac:dyDescent="0.25">
      <c r="C172" s="8"/>
      <c r="E172" s="8"/>
      <c r="G172" s="8"/>
      <c r="I172" s="8"/>
      <c r="K172" s="8"/>
      <c r="M172" s="8"/>
    </row>
    <row r="173" spans="3:13" x14ac:dyDescent="0.25">
      <c r="C173" s="8"/>
      <c r="E173" s="8"/>
      <c r="G173" s="8"/>
      <c r="I173" s="8"/>
      <c r="K173" s="8"/>
      <c r="M173" s="8"/>
    </row>
    <row r="174" spans="3:13" x14ac:dyDescent="0.25">
      <c r="C174" s="8"/>
      <c r="E174" s="8"/>
      <c r="G174" s="8"/>
      <c r="I174" s="8"/>
      <c r="K174" s="8"/>
      <c r="M174" s="8"/>
    </row>
    <row r="175" spans="3:13" x14ac:dyDescent="0.25">
      <c r="C175" s="8"/>
      <c r="E175" s="8"/>
      <c r="G175" s="8"/>
      <c r="I175" s="8"/>
      <c r="K175" s="8"/>
      <c r="M175" s="8"/>
    </row>
    <row r="176" spans="3:13" x14ac:dyDescent="0.25">
      <c r="C176" s="8"/>
      <c r="E176" s="8"/>
      <c r="G176" s="8"/>
      <c r="I176" s="8"/>
      <c r="K176" s="8"/>
      <c r="M176" s="8"/>
    </row>
    <row r="177" spans="3:13" x14ac:dyDescent="0.25">
      <c r="C177" s="8"/>
      <c r="E177" s="8"/>
      <c r="G177" s="8"/>
      <c r="I177" s="8"/>
      <c r="K177" s="8"/>
      <c r="M177" s="8"/>
    </row>
    <row r="178" spans="3:13" x14ac:dyDescent="0.25">
      <c r="C178" s="8"/>
      <c r="E178" s="8"/>
      <c r="G178" s="8"/>
      <c r="I178" s="8"/>
      <c r="K178" s="8"/>
      <c r="M178" s="8"/>
    </row>
    <row r="179" spans="3:13" x14ac:dyDescent="0.25">
      <c r="C179" s="8"/>
      <c r="E179" s="8"/>
      <c r="G179" s="8"/>
      <c r="I179" s="8"/>
      <c r="K179" s="8"/>
      <c r="M179" s="8"/>
    </row>
    <row r="180" spans="3:13" x14ac:dyDescent="0.25">
      <c r="C180" s="8"/>
      <c r="E180" s="8"/>
      <c r="G180" s="8"/>
      <c r="I180" s="8"/>
      <c r="K180" s="8"/>
      <c r="M180" s="8"/>
    </row>
    <row r="181" spans="3:13" x14ac:dyDescent="0.25">
      <c r="C181" s="8"/>
      <c r="E181" s="8"/>
      <c r="G181" s="8"/>
      <c r="I181" s="8"/>
      <c r="K181" s="8"/>
      <c r="M181" s="8"/>
    </row>
    <row r="182" spans="3:13" x14ac:dyDescent="0.25">
      <c r="C182" s="8"/>
      <c r="E182" s="8"/>
      <c r="G182" s="8"/>
      <c r="I182" s="8"/>
      <c r="K182" s="8"/>
      <c r="M182" s="8"/>
    </row>
    <row r="183" spans="3:13" x14ac:dyDescent="0.25">
      <c r="C183" s="8"/>
      <c r="E183" s="8"/>
      <c r="G183" s="8"/>
      <c r="I183" s="8"/>
      <c r="K183" s="8"/>
      <c r="M183" s="8"/>
    </row>
    <row r="184" spans="3:13" x14ac:dyDescent="0.25">
      <c r="C184" s="8"/>
      <c r="E184" s="8"/>
      <c r="G184" s="8"/>
      <c r="I184" s="8"/>
      <c r="K184" s="8"/>
      <c r="M184" s="8"/>
    </row>
    <row r="185" spans="3:13" x14ac:dyDescent="0.25">
      <c r="C185" s="8" t="s">
        <v>198</v>
      </c>
      <c r="E185" s="8" t="s">
        <v>198</v>
      </c>
      <c r="G185" s="8" t="s">
        <v>198</v>
      </c>
      <c r="I185" s="8" t="s">
        <v>198</v>
      </c>
      <c r="K185" s="8" t="s">
        <v>198</v>
      </c>
      <c r="M185" s="8" t="s">
        <v>198</v>
      </c>
    </row>
    <row r="186" spans="3:13" x14ac:dyDescent="0.25">
      <c r="C186" s="8" t="s">
        <v>198</v>
      </c>
      <c r="E186" s="8" t="s">
        <v>198</v>
      </c>
      <c r="G186" s="8" t="s">
        <v>198</v>
      </c>
      <c r="I186" s="8" t="s">
        <v>198</v>
      </c>
      <c r="K186" s="8" t="s">
        <v>198</v>
      </c>
      <c r="M186" s="8" t="s">
        <v>198</v>
      </c>
    </row>
    <row r="187" spans="3:13" x14ac:dyDescent="0.25">
      <c r="C187" s="8" t="s">
        <v>198</v>
      </c>
      <c r="E187" s="8" t="s">
        <v>198</v>
      </c>
      <c r="G187" s="8" t="s">
        <v>198</v>
      </c>
      <c r="I187" s="8" t="s">
        <v>198</v>
      </c>
      <c r="K187" s="8" t="s">
        <v>198</v>
      </c>
      <c r="M187" s="8" t="s">
        <v>198</v>
      </c>
    </row>
    <row r="188" spans="3:13" x14ac:dyDescent="0.25">
      <c r="C188" s="8" t="s">
        <v>198</v>
      </c>
      <c r="E188" s="8" t="s">
        <v>198</v>
      </c>
      <c r="G188" s="8" t="s">
        <v>198</v>
      </c>
      <c r="I188" s="8" t="s">
        <v>198</v>
      </c>
      <c r="K188" s="8" t="s">
        <v>198</v>
      </c>
      <c r="M188" s="8" t="s">
        <v>198</v>
      </c>
    </row>
    <row r="189" spans="3:13" x14ac:dyDescent="0.25">
      <c r="C189" s="8" t="s">
        <v>198</v>
      </c>
      <c r="E189" s="8" t="s">
        <v>198</v>
      </c>
      <c r="G189" s="8" t="s">
        <v>198</v>
      </c>
      <c r="I189" s="8" t="s">
        <v>198</v>
      </c>
      <c r="K189" s="8" t="s">
        <v>198</v>
      </c>
      <c r="M189" s="8" t="s">
        <v>198</v>
      </c>
    </row>
    <row r="190" spans="3:13" x14ac:dyDescent="0.25">
      <c r="C190" s="8" t="s">
        <v>198</v>
      </c>
      <c r="E190" s="8" t="s">
        <v>198</v>
      </c>
      <c r="G190" s="8" t="s">
        <v>198</v>
      </c>
      <c r="I190" s="8" t="s">
        <v>198</v>
      </c>
      <c r="K190" s="8" t="s">
        <v>198</v>
      </c>
      <c r="M190" s="8" t="s">
        <v>198</v>
      </c>
    </row>
    <row r="191" spans="3:13" x14ac:dyDescent="0.25">
      <c r="C191" s="8" t="s">
        <v>198</v>
      </c>
      <c r="E191" s="8" t="s">
        <v>198</v>
      </c>
      <c r="G191" s="8" t="s">
        <v>198</v>
      </c>
      <c r="I191" s="8" t="s">
        <v>198</v>
      </c>
      <c r="K191" s="8" t="s">
        <v>198</v>
      </c>
      <c r="M191" s="8" t="s">
        <v>198</v>
      </c>
    </row>
    <row r="192" spans="3:13" x14ac:dyDescent="0.25">
      <c r="C192" s="8" t="s">
        <v>198</v>
      </c>
      <c r="E192" s="8" t="s">
        <v>198</v>
      </c>
      <c r="G192" s="8" t="s">
        <v>198</v>
      </c>
      <c r="I192" s="8" t="s">
        <v>198</v>
      </c>
      <c r="K192" s="8" t="s">
        <v>198</v>
      </c>
      <c r="M192" s="8" t="s">
        <v>198</v>
      </c>
    </row>
    <row r="193" spans="3:13" x14ac:dyDescent="0.25">
      <c r="C193" s="8" t="s">
        <v>198</v>
      </c>
      <c r="E193" s="8" t="s">
        <v>198</v>
      </c>
      <c r="G193" s="8" t="s">
        <v>198</v>
      </c>
      <c r="I193" s="8" t="s">
        <v>198</v>
      </c>
      <c r="K193" s="8" t="s">
        <v>198</v>
      </c>
      <c r="M193" s="8" t="s">
        <v>198</v>
      </c>
    </row>
    <row r="194" spans="3:13" x14ac:dyDescent="0.25">
      <c r="C194" s="8" t="s">
        <v>198</v>
      </c>
      <c r="E194" s="8" t="s">
        <v>198</v>
      </c>
      <c r="G194" s="8" t="s">
        <v>198</v>
      </c>
      <c r="I194" s="8" t="s">
        <v>198</v>
      </c>
      <c r="K194" s="8" t="s">
        <v>198</v>
      </c>
      <c r="M194" s="8" t="s">
        <v>198</v>
      </c>
    </row>
    <row r="195" spans="3:13" x14ac:dyDescent="0.25">
      <c r="C195" s="8" t="s">
        <v>198</v>
      </c>
      <c r="E195" s="8" t="s">
        <v>198</v>
      </c>
      <c r="G195" s="8" t="s">
        <v>198</v>
      </c>
      <c r="I195" s="8" t="s">
        <v>198</v>
      </c>
      <c r="K195" s="8" t="s">
        <v>198</v>
      </c>
      <c r="M195" s="8" t="s">
        <v>198</v>
      </c>
    </row>
    <row r="196" spans="3:13" x14ac:dyDescent="0.25">
      <c r="C196" s="8" t="s">
        <v>198</v>
      </c>
      <c r="E196" s="8" t="s">
        <v>198</v>
      </c>
      <c r="G196" s="8" t="s">
        <v>198</v>
      </c>
      <c r="I196" s="8" t="s">
        <v>198</v>
      </c>
      <c r="K196" s="8" t="s">
        <v>198</v>
      </c>
      <c r="M196" s="8" t="s">
        <v>198</v>
      </c>
    </row>
    <row r="197" spans="3:13" x14ac:dyDescent="0.25">
      <c r="C197" s="8" t="s">
        <v>198</v>
      </c>
      <c r="E197" s="8" t="s">
        <v>198</v>
      </c>
      <c r="G197" s="8" t="s">
        <v>198</v>
      </c>
      <c r="I197" s="8" t="s">
        <v>198</v>
      </c>
      <c r="K197" s="8" t="s">
        <v>198</v>
      </c>
      <c r="M197" s="8" t="s">
        <v>198</v>
      </c>
    </row>
  </sheetData>
  <sheetProtection algorithmName="SHA-512" hashValue="U/w+jh4glNSSfiMWfr0JuHjT4VMQi6jK3NBmC5TyP6ULg71dFfiWg8MRtUeDhUA70g8OD5t2G4lXjfXk6Es/Dg==" saltValue="F9eyAbC+xU6L/cFF6biy3A==" spinCount="100000"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2A349-6714-4A7F-888D-8BC33BE20432}">
  <sheetPr codeName="Sheet7"/>
  <dimension ref="A1:Q54"/>
  <sheetViews>
    <sheetView zoomScaleNormal="100" workbookViewId="0">
      <selection activeCell="F29" sqref="F29"/>
    </sheetView>
  </sheetViews>
  <sheetFormatPr defaultColWidth="9.140625" defaultRowHeight="15" x14ac:dyDescent="0.25"/>
  <cols>
    <col min="1" max="1" width="9.140625" style="7"/>
    <col min="2" max="2" width="12.5703125" style="7" bestFit="1" customWidth="1"/>
    <col min="3" max="3" width="12.5703125" style="7" customWidth="1"/>
    <col min="4" max="4" width="15.140625" style="7" bestFit="1" customWidth="1"/>
    <col min="5" max="5" width="15.7109375" style="7" customWidth="1"/>
    <col min="6" max="6" width="12.140625" style="7" bestFit="1" customWidth="1"/>
    <col min="7" max="7" width="12.140625" style="7" customWidth="1"/>
    <col min="8" max="8" width="15.28515625" style="7" bestFit="1" customWidth="1"/>
    <col min="9" max="9" width="15.7109375" style="7" customWidth="1"/>
    <col min="10" max="10" width="12.140625" style="7" bestFit="1" customWidth="1"/>
    <col min="11" max="11" width="12.140625" style="7" customWidth="1"/>
    <col min="12" max="12" width="14.42578125" style="7" bestFit="1" customWidth="1"/>
    <col min="13" max="14" width="9.140625" style="7"/>
    <col min="15" max="15" width="12.140625" style="7" bestFit="1" customWidth="1"/>
    <col min="16" max="16" width="12.140625" style="7" customWidth="1"/>
    <col min="17" max="17" width="14.42578125" style="7" bestFit="1" customWidth="1"/>
    <col min="18" max="16384" width="9.140625" style="7"/>
  </cols>
  <sheetData>
    <row r="1" spans="1:17" s="8" customFormat="1" ht="23.25" x14ac:dyDescent="0.35">
      <c r="A1" s="6" t="s">
        <v>191</v>
      </c>
      <c r="B1" s="6"/>
    </row>
    <row r="2" spans="1:17" s="8" customFormat="1" x14ac:dyDescent="0.25">
      <c r="A2" s="11"/>
    </row>
    <row r="3" spans="1:17" ht="15" customHeight="1" x14ac:dyDescent="0.25">
      <c r="B3" s="8" t="s">
        <v>233</v>
      </c>
      <c r="C3" s="7" t="str">
        <f>_xlfn.TEXTJOIN(CHAR(10),TRUE,SUB_UserSmall1)</f>
        <v>(&gt;&gt;&gt;SUB UserSmall1)
(SUB UserSmall1)
(&lt;&lt;&lt;SUB UserSmall1)</v>
      </c>
      <c r="D3" s="8" t="s">
        <v>221</v>
      </c>
      <c r="E3" s="10"/>
      <c r="F3" s="8" t="s">
        <v>234</v>
      </c>
      <c r="G3" s="7" t="str">
        <f>_xlfn.TEXTJOIN(CHAR(10),TRUE,SUB_UserSmall2)</f>
        <v>(&gt;&gt;&gt;SUB UserSmall2)
(SUB UserSmall2)
(&lt;&lt;&lt;SUB UserSmall2)</v>
      </c>
      <c r="H3" s="8" t="s">
        <v>223</v>
      </c>
      <c r="J3" s="8" t="s">
        <v>236</v>
      </c>
      <c r="K3" s="7" t="str">
        <f>_xlfn.TEXTJOIN(CHAR(10),TRUE,SUB_UserLarge1)</f>
        <v>(&gt;&gt;&gt;SUB UserLarge1)
(SUB UserLarge1)
(&lt;&lt;&lt;END SUB UserLarge1)</v>
      </c>
      <c r="L3" s="8" t="s">
        <v>229</v>
      </c>
      <c r="O3" s="8" t="s">
        <v>237</v>
      </c>
      <c r="P3" s="7" t="str">
        <f>_xlfn.TEXTJOIN(CHAR(10),TRUE,SUB_UserLarge2)</f>
        <v>(&gt;&gt;&gt;SUB UserLarge2)
(SUB UserLarge2)
(&lt;&lt;&lt;END SUB UserLarge2)</v>
      </c>
      <c r="Q3" s="8" t="s">
        <v>231</v>
      </c>
    </row>
    <row r="4" spans="1:17" x14ac:dyDescent="0.25">
      <c r="D4" s="3" t="s">
        <v>258</v>
      </c>
      <c r="E4" s="10"/>
      <c r="H4" s="3" t="s">
        <v>259</v>
      </c>
      <c r="L4" s="3" t="s">
        <v>262</v>
      </c>
      <c r="Q4" s="3" t="s">
        <v>263</v>
      </c>
    </row>
    <row r="5" spans="1:17" x14ac:dyDescent="0.25">
      <c r="D5" s="55"/>
      <c r="H5" s="55"/>
      <c r="L5" s="55"/>
      <c r="Q5" s="55"/>
    </row>
    <row r="6" spans="1:17" x14ac:dyDescent="0.25">
      <c r="D6" s="55"/>
      <c r="H6" s="55"/>
      <c r="L6" s="55"/>
      <c r="Q6" s="55"/>
    </row>
    <row r="7" spans="1:17" x14ac:dyDescent="0.25">
      <c r="D7" s="55"/>
      <c r="H7" s="55"/>
      <c r="L7" s="55"/>
      <c r="Q7" s="55"/>
    </row>
    <row r="8" spans="1:17" x14ac:dyDescent="0.25">
      <c r="D8" s="55"/>
      <c r="H8" s="55"/>
      <c r="L8" s="55"/>
      <c r="Q8" s="55"/>
    </row>
    <row r="9" spans="1:17" x14ac:dyDescent="0.25">
      <c r="D9" s="55"/>
      <c r="H9" s="55"/>
      <c r="L9" s="55"/>
      <c r="Q9" s="55"/>
    </row>
    <row r="10" spans="1:17" x14ac:dyDescent="0.25">
      <c r="D10" s="55"/>
      <c r="H10" s="55"/>
      <c r="L10" s="55"/>
      <c r="Q10" s="55"/>
    </row>
    <row r="11" spans="1:17" x14ac:dyDescent="0.25">
      <c r="D11" s="55"/>
      <c r="H11" s="55"/>
      <c r="L11" s="55"/>
      <c r="Q11" s="55"/>
    </row>
    <row r="12" spans="1:17" x14ac:dyDescent="0.25">
      <c r="D12" s="55"/>
      <c r="H12" s="55"/>
      <c r="L12" s="55"/>
      <c r="Q12" s="55"/>
    </row>
    <row r="13" spans="1:17" x14ac:dyDescent="0.25">
      <c r="D13" s="55"/>
      <c r="H13" s="55"/>
      <c r="L13" s="55"/>
      <c r="Q13" s="55"/>
    </row>
    <row r="14" spans="1:17" x14ac:dyDescent="0.25">
      <c r="D14" s="55"/>
      <c r="H14" s="55"/>
      <c r="L14" s="55"/>
      <c r="Q14" s="55"/>
    </row>
    <row r="15" spans="1:17" x14ac:dyDescent="0.25">
      <c r="D15" s="55"/>
      <c r="H15" s="55"/>
      <c r="L15" s="55"/>
      <c r="Q15" s="55"/>
    </row>
    <row r="16" spans="1:17" x14ac:dyDescent="0.25">
      <c r="D16" s="55"/>
      <c r="H16" s="55"/>
      <c r="L16" s="55"/>
      <c r="Q16" s="55"/>
    </row>
    <row r="17" spans="2:17" x14ac:dyDescent="0.25">
      <c r="D17" s="55"/>
      <c r="H17" s="55"/>
      <c r="L17" s="55"/>
      <c r="Q17" s="55"/>
    </row>
    <row r="18" spans="2:17" x14ac:dyDescent="0.25">
      <c r="D18" s="55"/>
      <c r="H18" s="55"/>
      <c r="L18" s="55"/>
      <c r="Q18" s="55"/>
    </row>
    <row r="19" spans="2:17" x14ac:dyDescent="0.25">
      <c r="B19" s="8"/>
      <c r="D19" s="8" t="s">
        <v>222</v>
      </c>
      <c r="F19" s="8"/>
      <c r="H19" s="8" t="s">
        <v>224</v>
      </c>
      <c r="L19" s="55"/>
      <c r="Q19" s="55"/>
    </row>
    <row r="20" spans="2:17" x14ac:dyDescent="0.25">
      <c r="L20" s="55"/>
      <c r="Q20" s="55"/>
    </row>
    <row r="21" spans="2:17" x14ac:dyDescent="0.25">
      <c r="B21" s="8" t="s">
        <v>238</v>
      </c>
      <c r="C21" s="7" t="str">
        <f>_xlfn.TEXTJOIN(CHAR(10),TRUE,SUB_UserSmall3)</f>
        <v>(&gt;&gt;&gt;SUB UserSmall3)
(SUB UserSmall3)
(&lt;&lt;&lt;SUB UserSmall3)</v>
      </c>
      <c r="D21" s="8" t="s">
        <v>225</v>
      </c>
      <c r="F21" s="8" t="s">
        <v>235</v>
      </c>
      <c r="G21" s="7" t="str">
        <f>_xlfn.TEXTJOIN(CHAR(10),TRUE,SUB_UserSmall4)</f>
        <v>(&gt;&gt;&gt;SUB UserSmall4)
(SUB UserSmall4)
(&lt;&lt;&lt;SUB UserSmall4)</v>
      </c>
      <c r="H21" s="8" t="s">
        <v>227</v>
      </c>
      <c r="L21" s="55"/>
      <c r="Q21" s="55"/>
    </row>
    <row r="22" spans="2:17" x14ac:dyDescent="0.25">
      <c r="D22" s="3" t="s">
        <v>260</v>
      </c>
      <c r="H22" s="3" t="s">
        <v>261</v>
      </c>
      <c r="L22" s="55"/>
      <c r="Q22" s="55"/>
    </row>
    <row r="23" spans="2:17" x14ac:dyDescent="0.25">
      <c r="D23" s="55"/>
      <c r="H23" s="55"/>
      <c r="L23" s="55"/>
      <c r="Q23" s="55"/>
    </row>
    <row r="24" spans="2:17" x14ac:dyDescent="0.25">
      <c r="D24" s="55"/>
      <c r="H24" s="55"/>
      <c r="L24" s="55"/>
      <c r="Q24" s="55"/>
    </row>
    <row r="25" spans="2:17" x14ac:dyDescent="0.25">
      <c r="D25" s="55"/>
      <c r="H25" s="55"/>
      <c r="L25" s="55"/>
      <c r="Q25" s="55"/>
    </row>
    <row r="26" spans="2:17" x14ac:dyDescent="0.25">
      <c r="D26" s="55"/>
      <c r="H26" s="55"/>
      <c r="L26" s="55"/>
      <c r="Q26" s="55"/>
    </row>
    <row r="27" spans="2:17" x14ac:dyDescent="0.25">
      <c r="D27" s="55"/>
      <c r="H27" s="55"/>
      <c r="L27" s="55"/>
      <c r="Q27" s="55"/>
    </row>
    <row r="28" spans="2:17" x14ac:dyDescent="0.25">
      <c r="D28" s="55"/>
      <c r="H28" s="55"/>
      <c r="L28" s="55"/>
      <c r="Q28" s="55"/>
    </row>
    <row r="29" spans="2:17" x14ac:dyDescent="0.25">
      <c r="D29" s="55"/>
      <c r="H29" s="55"/>
      <c r="L29" s="55"/>
      <c r="Q29" s="55"/>
    </row>
    <row r="30" spans="2:17" x14ac:dyDescent="0.25">
      <c r="D30" s="55"/>
      <c r="H30" s="55"/>
      <c r="L30" s="55"/>
      <c r="Q30" s="55"/>
    </row>
    <row r="31" spans="2:17" x14ac:dyDescent="0.25">
      <c r="D31" s="55"/>
      <c r="H31" s="55"/>
      <c r="L31" s="55"/>
      <c r="Q31" s="55"/>
    </row>
    <row r="32" spans="2:17" x14ac:dyDescent="0.25">
      <c r="D32" s="55"/>
      <c r="H32" s="55"/>
      <c r="L32" s="55"/>
      <c r="Q32" s="55"/>
    </row>
    <row r="33" spans="4:17" x14ac:dyDescent="0.25">
      <c r="D33" s="55"/>
      <c r="H33" s="55"/>
      <c r="L33" s="55"/>
      <c r="Q33" s="55"/>
    </row>
    <row r="34" spans="4:17" x14ac:dyDescent="0.25">
      <c r="D34" s="55"/>
      <c r="H34" s="55"/>
      <c r="L34" s="55"/>
      <c r="Q34" s="55"/>
    </row>
    <row r="35" spans="4:17" x14ac:dyDescent="0.25">
      <c r="D35" s="55"/>
      <c r="H35" s="55"/>
      <c r="L35" s="55"/>
      <c r="Q35" s="55"/>
    </row>
    <row r="36" spans="4:17" x14ac:dyDescent="0.25">
      <c r="D36" s="55"/>
      <c r="H36" s="55"/>
      <c r="L36" s="55"/>
      <c r="Q36" s="55"/>
    </row>
    <row r="37" spans="4:17" x14ac:dyDescent="0.25">
      <c r="D37" s="8" t="s">
        <v>226</v>
      </c>
      <c r="H37" s="8" t="s">
        <v>228</v>
      </c>
      <c r="L37" s="55"/>
      <c r="Q37" s="55"/>
    </row>
    <row r="38" spans="4:17" x14ac:dyDescent="0.25">
      <c r="L38" s="55"/>
      <c r="Q38" s="55"/>
    </row>
    <row r="39" spans="4:17" x14ac:dyDescent="0.25">
      <c r="L39" s="55"/>
      <c r="Q39" s="55"/>
    </row>
    <row r="40" spans="4:17" x14ac:dyDescent="0.25">
      <c r="L40" s="55"/>
      <c r="Q40" s="55"/>
    </row>
    <row r="41" spans="4:17" x14ac:dyDescent="0.25">
      <c r="L41" s="55"/>
      <c r="Q41" s="55"/>
    </row>
    <row r="42" spans="4:17" x14ac:dyDescent="0.25">
      <c r="L42" s="55"/>
      <c r="Q42" s="55"/>
    </row>
    <row r="43" spans="4:17" x14ac:dyDescent="0.25">
      <c r="L43" s="55"/>
      <c r="Q43" s="55"/>
    </row>
    <row r="44" spans="4:17" x14ac:dyDescent="0.25">
      <c r="L44" s="55"/>
      <c r="Q44" s="55"/>
    </row>
    <row r="45" spans="4:17" x14ac:dyDescent="0.25">
      <c r="L45" s="55"/>
      <c r="Q45" s="55"/>
    </row>
    <row r="46" spans="4:17" x14ac:dyDescent="0.25">
      <c r="L46" s="55"/>
      <c r="Q46" s="55"/>
    </row>
    <row r="47" spans="4:17" x14ac:dyDescent="0.25">
      <c r="L47" s="55"/>
      <c r="Q47" s="55"/>
    </row>
    <row r="48" spans="4:17" x14ac:dyDescent="0.25">
      <c r="L48" s="55"/>
      <c r="Q48" s="55"/>
    </row>
    <row r="49" spans="12:17" x14ac:dyDescent="0.25">
      <c r="L49" s="55"/>
      <c r="Q49" s="55"/>
    </row>
    <row r="50" spans="12:17" x14ac:dyDescent="0.25">
      <c r="L50" s="55"/>
      <c r="Q50" s="55"/>
    </row>
    <row r="51" spans="12:17" x14ac:dyDescent="0.25">
      <c r="L51" s="55"/>
      <c r="Q51" s="55"/>
    </row>
    <row r="52" spans="12:17" x14ac:dyDescent="0.25">
      <c r="L52" s="55"/>
      <c r="Q52" s="55"/>
    </row>
    <row r="53" spans="12:17" x14ac:dyDescent="0.25">
      <c r="L53" s="55"/>
      <c r="Q53" s="55"/>
    </row>
    <row r="54" spans="12:17" x14ac:dyDescent="0.25">
      <c r="L54" s="8" t="s">
        <v>230</v>
      </c>
      <c r="Q54" s="8" t="s">
        <v>232</v>
      </c>
    </row>
  </sheetData>
  <sheetProtection algorithmName="SHA-512" hashValue="yRHvtjSOJ7Ckc0BaBKW81vrBxFHt2n4gr4GgIxDyZ4U7hpi274q6qWRrn1ioZpzmCh4rXtKROGjX1GL+kOuygg==" saltValue="wwXft9xXu2XdcS/Cf0+DBA=="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124</vt:i4>
      </vt:variant>
    </vt:vector>
  </HeadingPairs>
  <TitlesOfParts>
    <vt:vector size="132" baseType="lpstr">
      <vt:lpstr>Main Pars</vt:lpstr>
      <vt:lpstr>EndCapCalculator </vt:lpstr>
      <vt:lpstr>Relationships</vt:lpstr>
      <vt:lpstr>Reference</vt:lpstr>
      <vt:lpstr>MasterPgms</vt:lpstr>
      <vt:lpstr>SubPgms</vt:lpstr>
      <vt:lpstr>User MasterPgms</vt:lpstr>
      <vt:lpstr>User SubPgms</vt:lpstr>
      <vt:lpstr>BaseCeilingDYCutOff</vt:lpstr>
      <vt:lpstr>BaseCeilingLength</vt:lpstr>
      <vt:lpstr>BaseDXVPocket</vt:lpstr>
      <vt:lpstr>BaseDYCutOff</vt:lpstr>
      <vt:lpstr>BaseDYHPocket</vt:lpstr>
      <vt:lpstr>BaseFemaleX0</vt:lpstr>
      <vt:lpstr>BaseHeight</vt:lpstr>
      <vt:lpstr>BaseMaleDX</vt:lpstr>
      <vt:lpstr>BaseMaleDY</vt:lpstr>
      <vt:lpstr>BaseTopFemaleDX</vt:lpstr>
      <vt:lpstr>BaseWidth</vt:lpstr>
      <vt:lpstr>CEILING</vt:lpstr>
      <vt:lpstr>CeilingEndWidth</vt:lpstr>
      <vt:lpstr>Corner</vt:lpstr>
      <vt:lpstr>DIFF</vt:lpstr>
      <vt:lpstr>DIFF_Y0HPocket</vt:lpstr>
      <vt:lpstr>DiffHeight</vt:lpstr>
      <vt:lpstr>DiffLength</vt:lpstr>
      <vt:lpstr>DIffWidth</vt:lpstr>
      <vt:lpstr>DOOR_FLOOR</vt:lpstr>
      <vt:lpstr>DX_VPocket_X</vt:lpstr>
      <vt:lpstr>FEMALE_CEILING_END</vt:lpstr>
      <vt:lpstr>FREEZER</vt:lpstr>
      <vt:lpstr>Height</vt:lpstr>
      <vt:lpstr>Hpocket_DX</vt:lpstr>
      <vt:lpstr>HPocket_X0</vt:lpstr>
      <vt:lpstr>HPocket_XM</vt:lpstr>
      <vt:lpstr>MALE_CEILING_END</vt:lpstr>
      <vt:lpstr>MaleOffset</vt:lpstr>
      <vt:lpstr>myLineBreak</vt:lpstr>
      <vt:lpstr>Panel_1</vt:lpstr>
      <vt:lpstr>Panel_2</vt:lpstr>
      <vt:lpstr>Panel_3</vt:lpstr>
      <vt:lpstr>Panel_4</vt:lpstr>
      <vt:lpstr>Panel_5</vt:lpstr>
      <vt:lpstr>Panel_6</vt:lpstr>
      <vt:lpstr>Panel_7</vt:lpstr>
      <vt:lpstr>Panel_8</vt:lpstr>
      <vt:lpstr>PGM_Ceiling</vt:lpstr>
      <vt:lpstr>PGM_DOOR_FLOOR</vt:lpstr>
      <vt:lpstr>PGM_Female_Ceiling_End</vt:lpstr>
      <vt:lpstr>PGM_Female_Connected_Ceiling</vt:lpstr>
      <vt:lpstr>PGM_Freezer</vt:lpstr>
      <vt:lpstr>PGM_Male_Ceiling_End</vt:lpstr>
      <vt:lpstr>PGM_Male_Connected_Ceiling</vt:lpstr>
      <vt:lpstr>PGM_Refrigerator</vt:lpstr>
      <vt:lpstr>PGM_SPECIAL_T</vt:lpstr>
      <vt:lpstr>REFRIGERATOR</vt:lpstr>
      <vt:lpstr>s_DXVPocket</vt:lpstr>
      <vt:lpstr>s_DYHPocket</vt:lpstr>
      <vt:lpstr>s_TopPocket</vt:lpstr>
      <vt:lpstr>s_UserLarge1</vt:lpstr>
      <vt:lpstr>s_UserLarge2</vt:lpstr>
      <vt:lpstr>s_UserSmall1</vt:lpstr>
      <vt:lpstr>s_UserSmall2</vt:lpstr>
      <vt:lpstr>s_UserSmall3</vt:lpstr>
      <vt:lpstr>s_UserSmall4</vt:lpstr>
      <vt:lpstr>s_X0VPocket</vt:lpstr>
      <vt:lpstr>s_Y0HPocket</vt:lpstr>
      <vt:lpstr>SUB_DXVPocket</vt:lpstr>
      <vt:lpstr>SUB_DYHPocket</vt:lpstr>
      <vt:lpstr>SUB_TopPocket</vt:lpstr>
      <vt:lpstr>SUB_UserLarge1</vt:lpstr>
      <vt:lpstr>SUB_UserLarge2</vt:lpstr>
      <vt:lpstr>SUB_UserSmall1</vt:lpstr>
      <vt:lpstr>SUB_UserSmall2</vt:lpstr>
      <vt:lpstr>SUB_UserSmall3</vt:lpstr>
      <vt:lpstr>SUB_UserSmall4</vt:lpstr>
      <vt:lpstr>SUB_X0VPocket</vt:lpstr>
      <vt:lpstr>SUB_Y0HPocket</vt:lpstr>
      <vt:lpstr>T_CEILING</vt:lpstr>
      <vt:lpstr>T1Feed</vt:lpstr>
      <vt:lpstr>T1PocketFeed</vt:lpstr>
      <vt:lpstr>T1RPMs</vt:lpstr>
      <vt:lpstr>T5Feed</vt:lpstr>
      <vt:lpstr>T5PocketFeed</vt:lpstr>
      <vt:lpstr>T5RPMs</vt:lpstr>
      <vt:lpstr>T6Feed</vt:lpstr>
      <vt:lpstr>T6RPMs</vt:lpstr>
      <vt:lpstr>T6Z</vt:lpstr>
      <vt:lpstr>T7Feed</vt:lpstr>
      <vt:lpstr>T7RPMs</vt:lpstr>
      <vt:lpstr>T7Z</vt:lpstr>
      <vt:lpstr>T8Feed</vt:lpstr>
      <vt:lpstr>T8RPMs</vt:lpstr>
      <vt:lpstr>T8Z</vt:lpstr>
      <vt:lpstr>Top_11.25</vt:lpstr>
      <vt:lpstr>Top_22</vt:lpstr>
      <vt:lpstr>Top_34</vt:lpstr>
      <vt:lpstr>Top_46</vt:lpstr>
      <vt:lpstr>TopPocket_DX</vt:lpstr>
      <vt:lpstr>TopPocket_X0</vt:lpstr>
      <vt:lpstr>TopPocket_X1</vt:lpstr>
      <vt:lpstr>TopPocket_XM</vt:lpstr>
      <vt:lpstr>TopPocket_Y1</vt:lpstr>
      <vt:lpstr>TopPocket_Y2</vt:lpstr>
      <vt:lpstr>TopPocket_Y3</vt:lpstr>
      <vt:lpstr>TopPocket_Y4</vt:lpstr>
      <vt:lpstr>TopPocket_Y5</vt:lpstr>
      <vt:lpstr>TopPocket_Y6</vt:lpstr>
      <vt:lpstr>TopPocket_Y7</vt:lpstr>
      <vt:lpstr>TopPocket_Y8</vt:lpstr>
      <vt:lpstr>TPlunge</vt:lpstr>
      <vt:lpstr>uMPgm1</vt:lpstr>
      <vt:lpstr>uMPgm2</vt:lpstr>
      <vt:lpstr>uMPgm3</vt:lpstr>
      <vt:lpstr>uMPgm4</vt:lpstr>
      <vt:lpstr>uMPgm5</vt:lpstr>
      <vt:lpstr>uMPgm6</vt:lpstr>
      <vt:lpstr>User_MasterPgm1</vt:lpstr>
      <vt:lpstr>User_MasterPgm2</vt:lpstr>
      <vt:lpstr>User_MasterPgm3</vt:lpstr>
      <vt:lpstr>User_MasterPgm4</vt:lpstr>
      <vt:lpstr>User_MasterPgm5</vt:lpstr>
      <vt:lpstr>User_MasterPgm6</vt:lpstr>
      <vt:lpstr>VPocket_Y1</vt:lpstr>
      <vt:lpstr>VPocket_Y2</vt:lpstr>
      <vt:lpstr>VPocket_Y3</vt:lpstr>
      <vt:lpstr>VPocket_Y4</vt:lpstr>
      <vt:lpstr>VPocket_Y5</vt:lpstr>
      <vt:lpstr>VPocket_Y6</vt:lpstr>
      <vt:lpstr>VPocket_Y7</vt:lpstr>
      <vt:lpstr>Width</vt:lpstr>
      <vt:lpstr>X0_VPocket_X</vt:lpstr>
    </vt:vector>
  </TitlesOfParts>
  <Company>TrebMedia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KingCoolers PgmsMaster</dc:title>
  <dc:creator>Fred Schroeder</dc:creator>
  <dc:description>freds@trebmedia.com
Copyright 2022
All RIghts Reserved
Treb Media LLC</dc:description>
  <cp:lastModifiedBy>Matthew Ajaka</cp:lastModifiedBy>
  <dcterms:created xsi:type="dcterms:W3CDTF">2022-04-30T10:32:38Z</dcterms:created>
  <dcterms:modified xsi:type="dcterms:W3CDTF">2026-01-15T21:19:38Z</dcterms:modified>
  <cp:contentStatus>v1.02</cp:contentStatus>
</cp:coreProperties>
</file>